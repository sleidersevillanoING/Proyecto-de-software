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732897CC-5980-46BB-A70E-AE4154C4A3BA}" xr6:coauthVersionLast="47" xr6:coauthVersionMax="47" xr10:uidLastSave="{00000000-0000-0000-0000-000000000000}"/>
  <bookViews>
    <workbookView xWindow="-120" yWindow="-120" windowWidth="29040" windowHeight="15840" xr2:uid="{00000000-000D-0000-FFFF-FFFF00000000}"/>
  </bookViews>
  <sheets>
    <sheet name="ProjectSchedule" sheetId="11" r:id="rId1"/>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8" i="11" l="1"/>
  <c r="F37" i="11"/>
  <c r="F36" i="11"/>
  <c r="F32" i="11"/>
  <c r="F25" i="11"/>
  <c r="F24" i="11"/>
  <c r="F23" i="11"/>
  <c r="F21" i="11"/>
  <c r="F20" i="11"/>
  <c r="F19" i="11"/>
  <c r="F15" i="11"/>
  <c r="F14" i="11"/>
  <c r="F10" i="11"/>
  <c r="F9" i="11"/>
  <c r="H35" i="11"/>
  <c r="H30" i="11"/>
  <c r="H7" i="11"/>
  <c r="E9" i="11" l="1"/>
  <c r="E10" i="11" l="1"/>
  <c r="I5" i="11"/>
  <c r="H39" i="11"/>
  <c r="H22" i="11"/>
  <c r="H18" i="11"/>
  <c r="H13" i="11"/>
  <c r="H8" i="11"/>
  <c r="E11" i="11" l="1"/>
  <c r="F11" i="11" s="1"/>
  <c r="I6" i="11"/>
  <c r="H9" i="11" l="1"/>
  <c r="E12" i="11"/>
  <c r="F12" i="11" s="1"/>
  <c r="J5" i="11"/>
  <c r="K5" i="11" s="1"/>
  <c r="L5" i="11" s="1"/>
  <c r="M5" i="11" s="1"/>
  <c r="N5" i="11" s="1"/>
  <c r="O5" i="11" s="1"/>
  <c r="P5" i="11" s="1"/>
  <c r="I4" i="11"/>
  <c r="H11" i="11" l="1"/>
  <c r="E14" i="11"/>
  <c r="E15" i="11" s="1"/>
  <c r="E16" i="11" s="1"/>
  <c r="P4" i="11"/>
  <c r="Q5" i="11"/>
  <c r="R5" i="11" s="1"/>
  <c r="S5" i="11" s="1"/>
  <c r="T5" i="11" s="1"/>
  <c r="U5" i="11" s="1"/>
  <c r="V5" i="11" s="1"/>
  <c r="W5" i="11" s="1"/>
  <c r="J6" i="11"/>
  <c r="F16" i="11" l="1"/>
  <c r="E17" i="11" s="1"/>
  <c r="F17" i="11" s="1"/>
  <c r="E19" i="11" s="1"/>
  <c r="H12"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H14" i="11" l="1"/>
  <c r="AR5" i="11"/>
  <c r="AS5" i="11" s="1"/>
  <c r="AK4" i="11"/>
  <c r="N6" i="11"/>
  <c r="H15" i="11" l="1"/>
  <c r="H10" i="11"/>
  <c r="AT5" i="11"/>
  <c r="AS6" i="11"/>
  <c r="AR4" i="11"/>
  <c r="O6" i="11"/>
  <c r="AT6" i="11" l="1"/>
  <c r="H16" i="11" l="1"/>
  <c r="E20" i="11"/>
  <c r="P6" i="11"/>
  <c r="H17" i="11" l="1"/>
  <c r="H19" i="11"/>
  <c r="R6" i="11"/>
  <c r="E21" i="11" l="1"/>
  <c r="E23" i="11" s="1"/>
  <c r="E24" i="11" s="1"/>
  <c r="S6" i="11"/>
  <c r="AR6" i="11"/>
  <c r="AU5" i="11" s="1"/>
  <c r="AV5" i="11" s="1"/>
  <c r="AQ6" i="11"/>
  <c r="AP6" i="11"/>
  <c r="AO6" i="11"/>
  <c r="AN6" i="11"/>
  <c r="AM6" i="11"/>
  <c r="AL6" i="11"/>
  <c r="AK6" i="11"/>
  <c r="AJ6" i="11"/>
  <c r="AI6" i="11"/>
  <c r="AH6" i="11"/>
  <c r="AG6" i="11"/>
  <c r="AF6" i="11"/>
  <c r="AE6" i="11"/>
  <c r="AD6" i="11"/>
  <c r="AC6" i="11"/>
  <c r="AB6" i="11"/>
  <c r="AA6" i="11"/>
  <c r="Z6" i="11"/>
  <c r="Y6" i="11"/>
  <c r="X6" i="11"/>
  <c r="W6" i="11"/>
  <c r="V6" i="11"/>
  <c r="U6" i="11"/>
  <c r="T6" i="11"/>
  <c r="Q6" i="11"/>
  <c r="H23" i="11" l="1"/>
  <c r="H20" i="11"/>
  <c r="H21" i="11"/>
  <c r="AW5" i="11"/>
  <c r="AX5" i="11" s="1"/>
  <c r="AV6" i="11"/>
  <c r="AU6" i="11"/>
  <c r="H24" i="11" l="1"/>
  <c r="E25" i="11"/>
  <c r="AW6" i="11"/>
  <c r="AY5" i="11"/>
  <c r="E26" i="11" l="1"/>
  <c r="F26" i="11" s="1"/>
  <c r="AZ5" i="11"/>
  <c r="AY6" i="11"/>
  <c r="AY4" i="11"/>
  <c r="AX6" i="11" s="1"/>
  <c r="E27" i="11" l="1"/>
  <c r="F27" i="11" s="1"/>
  <c r="H25" i="11"/>
  <c r="BA5" i="11"/>
  <c r="AZ6" i="11"/>
  <c r="E28" i="11" l="1"/>
  <c r="H27" i="11"/>
  <c r="H26" i="11"/>
  <c r="BB5" i="11"/>
  <c r="BA6" i="11"/>
  <c r="F28" i="11" l="1"/>
  <c r="E29" i="11" s="1"/>
  <c r="BB6" i="11"/>
  <c r="BC5" i="11"/>
  <c r="F29" i="11" l="1"/>
  <c r="E31" i="11" s="1"/>
  <c r="BD5" i="11"/>
  <c r="BC6" i="11"/>
  <c r="F31" i="11" l="1"/>
  <c r="E32" i="11" s="1"/>
  <c r="E33" i="11" s="1"/>
  <c r="F33" i="11" s="1"/>
  <c r="E34" i="11" s="1"/>
  <c r="F34" i="11" s="1"/>
  <c r="E36" i="11" s="1"/>
  <c r="H31" i="11"/>
  <c r="BE5" i="11"/>
  <c r="BD6" i="11"/>
  <c r="H32" i="11" l="1"/>
  <c r="E37" i="11"/>
  <c r="H34" i="11"/>
  <c r="H33" i="11"/>
  <c r="BF5" i="11"/>
  <c r="E38" i="11" l="1"/>
  <c r="H36" i="11"/>
  <c r="BF4" i="11"/>
  <c r="BE6" i="11" s="1"/>
  <c r="BF6" i="11"/>
  <c r="BG5" i="11"/>
  <c r="H38" i="11" l="1"/>
  <c r="H37" i="11"/>
  <c r="BG6" i="11"/>
  <c r="BH5" i="11"/>
  <c r="BI5" i="11" l="1"/>
  <c r="BH6" i="11"/>
  <c r="BJ5" i="11" l="1"/>
  <c r="BI6" i="11"/>
  <c r="BK5" i="11" l="1"/>
  <c r="BJ6" i="11"/>
  <c r="BL5" i="11" l="1"/>
  <c r="BK6" i="11"/>
  <c r="BL6" i="11" l="1"/>
  <c r="BM5" i="11"/>
  <c r="BN5" i="11" l="1"/>
  <c r="BM6" i="11"/>
  <c r="BM4" i="11"/>
  <c r="BO5" i="11" l="1"/>
  <c r="BN6" i="11"/>
  <c r="BO6" i="11" l="1"/>
  <c r="BP5" i="11"/>
  <c r="BP6" i="11" l="1"/>
  <c r="BQ5" i="11"/>
  <c r="BR5" i="11" l="1"/>
  <c r="BQ6" i="11"/>
  <c r="BR6" i="11" l="1"/>
  <c r="BS5" i="11"/>
  <c r="BS6" i="11" l="1"/>
  <c r="BT5" i="11"/>
  <c r="BU5" i="11" l="1"/>
  <c r="BT6" i="11"/>
  <c r="BT4" i="11"/>
  <c r="BU6" i="11" l="1"/>
  <c r="BV5" i="11"/>
  <c r="BV6" i="11" l="1"/>
  <c r="BW5" i="11"/>
  <c r="BX5" i="11" l="1"/>
  <c r="BW6" i="11"/>
  <c r="BY5" i="11" l="1"/>
  <c r="BX6" i="11"/>
  <c r="BZ5" i="11" l="1"/>
  <c r="BY6" i="11"/>
  <c r="BZ6" i="11" l="1"/>
  <c r="CA5" i="11"/>
  <c r="CB5" i="11" l="1"/>
  <c r="CA6" i="11"/>
  <c r="CA4" i="11"/>
  <c r="CB6" i="11" l="1"/>
  <c r="CC5" i="11"/>
  <c r="CC6" i="11" l="1"/>
  <c r="CD5" i="11"/>
  <c r="CE5" i="11" l="1"/>
  <c r="CD6" i="11"/>
  <c r="CF5" i="11" l="1"/>
  <c r="CE6" i="11"/>
  <c r="CF6" i="11" l="1"/>
  <c r="CG5" i="11"/>
  <c r="CG6" i="11" l="1"/>
  <c r="CH5" i="11"/>
  <c r="CH6" i="11" l="1"/>
  <c r="CH4" i="11"/>
  <c r="CI5" i="11"/>
  <c r="CI6" i="11" l="1"/>
  <c r="CJ5" i="11"/>
  <c r="CK5" i="11" l="1"/>
  <c r="CJ6" i="11"/>
  <c r="CL5" i="11" l="1"/>
  <c r="CK6" i="11"/>
  <c r="CL6" i="11" l="1"/>
  <c r="CM5" i="11"/>
  <c r="CM6" i="11" l="1"/>
  <c r="CN5" i="11"/>
  <c r="CO5" i="11" l="1"/>
  <c r="CN6" i="11"/>
  <c r="CO4" i="11" l="1"/>
  <c r="CP5" i="11"/>
  <c r="CO6" i="11"/>
  <c r="CP6" i="11" l="1"/>
  <c r="CQ5" i="11"/>
  <c r="CQ6" i="11" l="1"/>
  <c r="CR5" i="11"/>
  <c r="CS5" i="11" l="1"/>
  <c r="CR6" i="11"/>
  <c r="CT5" i="11" l="1"/>
  <c r="CS6" i="11"/>
  <c r="CT6" i="11" l="1"/>
  <c r="CU5" i="11"/>
  <c r="CU6" i="11" l="1"/>
  <c r="CV5" i="11"/>
  <c r="CW5" i="11" l="1"/>
  <c r="CV6" i="11"/>
  <c r="CV4" i="11"/>
  <c r="CX5" i="11" l="1"/>
  <c r="CW6" i="11"/>
  <c r="CX6" i="11" l="1"/>
  <c r="CY5" i="11"/>
  <c r="CY6" i="11" l="1"/>
  <c r="CZ5" i="11"/>
  <c r="DA5" i="11" l="1"/>
  <c r="CZ6" i="11"/>
  <c r="DB5" i="11" l="1"/>
  <c r="DA6" i="11"/>
  <c r="DB6" i="11" l="1"/>
  <c r="DC5" i="11"/>
  <c r="DC6" i="11" l="1"/>
  <c r="DD5" i="11"/>
  <c r="DC4" i="11"/>
  <c r="DE5" i="11" l="1"/>
  <c r="DD6" i="11"/>
  <c r="DF5" i="11" l="1"/>
  <c r="DE6" i="11"/>
  <c r="DF6" i="11" l="1"/>
  <c r="DG5" i="11"/>
  <c r="DG6" i="11" l="1"/>
  <c r="DH5" i="11"/>
  <c r="DI5" i="11" l="1"/>
  <c r="DH6" i="11"/>
  <c r="DJ5" i="11" l="1"/>
  <c r="DI6" i="11"/>
  <c r="DJ6" i="11" l="1"/>
  <c r="DJ4" i="11"/>
  <c r="DK5" i="11"/>
  <c r="DK6" i="11" l="1"/>
  <c r="DL5" i="11"/>
  <c r="DM5" i="11" l="1"/>
  <c r="DL6" i="11"/>
  <c r="DN5" i="11" l="1"/>
  <c r="DM6" i="11"/>
  <c r="DN6" i="11" l="1"/>
  <c r="DO5" i="11"/>
  <c r="DO6" i="11" l="1"/>
  <c r="DP5" i="11"/>
  <c r="DP6" i="11" l="1"/>
</calcChain>
</file>

<file path=xl/sharedStrings.xml><?xml version="1.0" encoding="utf-8"?>
<sst xmlns="http://schemas.openxmlformats.org/spreadsheetml/2006/main" count="62" uniqueCount="57">
  <si>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</si>
  <si>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</si>
  <si>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</si>
  <si>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</si>
  <si>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</si>
  <si>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</si>
  <si>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</si>
  <si>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</si>
  <si>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</si>
  <si>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</si>
  <si>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</si>
  <si>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</si>
  <si>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fila indica el final de la programación del proyecto. NO escriba nada en esta fila. 
Inserte nuevas filas encima de ésta para continuar creando la programación del proyecto.</t>
  </si>
  <si>
    <t>TAREA</t>
  </si>
  <si>
    <t>Inicio del proyecto:</t>
  </si>
  <si>
    <t>Semana para mostrar:</t>
  </si>
  <si>
    <t>PROGRESO</t>
  </si>
  <si>
    <t>INICIO</t>
  </si>
  <si>
    <t>FIN</t>
  </si>
  <si>
    <t>DÍAS</t>
  </si>
  <si>
    <t>Identificación de necesidades y levantamiento de información (observación, encuestas).</t>
  </si>
  <si>
    <t>Identificación de stakeholders.</t>
  </si>
  <si>
    <t>Documentación del análisis.</t>
  </si>
  <si>
    <t>Definición de requerimientos funcionales y no funcionales</t>
  </si>
  <si>
    <t>Definición del alcance.</t>
  </si>
  <si>
    <t>Elaboración de la matriz de riesgos.</t>
  </si>
  <si>
    <t>Estimación de esfuerzo (WBS).</t>
  </si>
  <si>
    <t>Definición del cronograma y presupuesto.</t>
  </si>
  <si>
    <t>Diagramas de casos de uso, clases y componentes.</t>
  </si>
  <si>
    <t>Diseño del diagrama de flujo del software.</t>
  </si>
  <si>
    <t>Prototipado (baja y alta fidelidad).</t>
  </si>
  <si>
    <t>Configuración del entorno de desarrollo.</t>
  </si>
  <si>
    <t>Implementación de módulos principales:</t>
  </si>
  <si>
    <t>Registro de supervisor y login.</t>
  </si>
  <si>
    <t>Registro de módulos de producción.</t>
  </si>
  <si>
    <t>Registro de producción por horas y defectuosos.</t>
  </si>
  <si>
    <t>Reportes individuales y generales.</t>
  </si>
  <si>
    <t>Integración de la base de datos.</t>
  </si>
  <si>
    <t>Pruebas unitarias (funcionalidad de cada módulo).</t>
  </si>
  <si>
    <t>Pruebas de integración (flujo completo del sistema).</t>
  </si>
  <si>
    <t>Pruebas de caja negra (validación con usuarios).</t>
  </si>
  <si>
    <t>Ajustes y corrección de errores.</t>
  </si>
  <si>
    <t>Documentación técnica y manual de usuario.</t>
  </si>
  <si>
    <t>Presentación del sistema a la empresa.</t>
  </si>
  <si>
    <t>Entrega del producto mínimo viable (MVP).</t>
  </si>
  <si>
    <t xml:space="preserve"> </t>
  </si>
  <si>
    <t>PROYECTO DE SOFTWARE</t>
  </si>
  <si>
    <t>Saulo Andres Franco Torres</t>
  </si>
  <si>
    <t>Sleider Jair Sevillano Ramos</t>
  </si>
  <si>
    <t>Estefanía Toro Bañol</t>
  </si>
  <si>
    <t>ASIGNADO 
A</t>
  </si>
  <si>
    <t>Fase de Análisis (Semana 1 - Semana 2 - semana 3)</t>
  </si>
  <si>
    <t>Fase de Planeación (Semana 4 - Semana 5 - semana 6)</t>
  </si>
  <si>
    <t>Fase de Diseño (Semana 7 - Semana 8 - semana 9)</t>
  </si>
  <si>
    <t>Fase de Desarrollo (Semana 10 - Semana 11 - semana 12)</t>
  </si>
  <si>
    <t>Fase de Pruebas (Semana 13 - Semana 14)</t>
  </si>
  <si>
    <t>Fase de Entrega (Semana 15 - Semana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</si>
</sst>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
    <numFmt numFmtId="170" formatCode="ddd\,\ yyyy\-mm\-dd;@"/>
    <numFmt numFmtId="171" formatCode="d\ &quot;de&quot;\ mmmm\ &quot;de&quot;\ yyyy"/>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s>
  <borders count="20">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indexed="64"/>
      </top>
      <bottom style="thin">
        <color indexed="64"/>
      </bottom>
      <diagonal/>
    </border>
    <border>
      <left style="thin">
        <color theme="0" tint="-0.34998626667073579"/>
      </left>
      <right/>
      <top style="thin">
        <color indexed="64"/>
      </top>
      <bottom style="thin">
        <color indexed="64"/>
      </bottom>
      <diagonal/>
    </border>
    <border>
      <left/>
      <right style="thin">
        <color indexed="64"/>
      </right>
      <top style="thin">
        <color indexed="64"/>
      </top>
      <bottom style="thin">
        <color indexed="6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70"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8" applyNumberFormat="0" applyAlignment="0" applyProtection="0"/>
    <xf numFmtId="0" fontId="25" fillId="18" borderId="9" applyNumberFormat="0" applyAlignment="0" applyProtection="0"/>
    <xf numFmtId="0" fontId="26" fillId="18" borderId="8" applyNumberFormat="0" applyAlignment="0" applyProtection="0"/>
    <xf numFmtId="0" fontId="27" fillId="0" borderId="10" applyNumberFormat="0" applyFill="0" applyAlignment="0" applyProtection="0"/>
    <xf numFmtId="0" fontId="28" fillId="19" borderId="11" applyNumberFormat="0" applyAlignment="0" applyProtection="0"/>
    <xf numFmtId="0" fontId="29" fillId="0" borderId="0" applyNumberFormat="0" applyFill="0" applyBorder="0" applyAlignment="0" applyProtection="0"/>
    <xf numFmtId="0" fontId="9" fillId="20" borderId="12" applyNumberFormat="0" applyFont="0" applyAlignment="0" applyProtection="0"/>
    <xf numFmtId="0" fontId="30" fillId="0" borderId="0" applyNumberFormat="0" applyFill="0" applyBorder="0" applyAlignment="0" applyProtection="0"/>
    <xf numFmtId="0" fontId="6" fillId="0" borderId="13"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8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5"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6" xfId="0" applyBorder="1" applyAlignment="1">
      <alignment vertical="center"/>
    </xf>
    <xf numFmtId="0" fontId="0" fillId="0" borderId="6" xfId="0" applyBorder="1" applyAlignment="1">
      <alignment horizontal="right" vertical="center"/>
    </xf>
    <xf numFmtId="0" fontId="0" fillId="2" borderId="6"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0" fillId="0" borderId="7" xfId="0" applyBorder="1"/>
    <xf numFmtId="0" fontId="17" fillId="0" borderId="0" xfId="0" applyFont="1"/>
    <xf numFmtId="0" fontId="18" fillId="0" borderId="0" xfId="1" applyFont="1" applyProtection="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9" fillId="3" borderId="2" xfId="10" applyFill="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9" fillId="4" borderId="2" xfId="10" applyFill="1">
      <alignment horizontal="center" vertical="center"/>
    </xf>
    <xf numFmtId="168" fontId="0" fillId="6" borderId="2" xfId="0" applyNumberFormat="1" applyFill="1" applyBorder="1" applyAlignment="1">
      <alignment horizontal="center" vertical="center"/>
    </xf>
    <xf numFmtId="168" fontId="5" fillId="6" borderId="2" xfId="0" applyNumberFormat="1" applyFont="1" applyFill="1" applyBorder="1" applyAlignment="1">
      <alignment horizontal="center" vertical="center"/>
    </xf>
    <xf numFmtId="168" fontId="9" fillId="11" borderId="2" xfId="10"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9" fillId="10" borderId="2" xfId="10" applyFill="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7" borderId="14" xfId="0" applyNumberFormat="1" applyFont="1" applyFill="1" applyBorder="1" applyAlignment="1">
      <alignment horizontal="center" vertical="center"/>
    </xf>
    <xf numFmtId="0" fontId="0" fillId="45" borderId="6" xfId="0" applyFill="1" applyBorder="1" applyAlignment="1">
      <alignment vertical="center"/>
    </xf>
    <xf numFmtId="0" fontId="10" fillId="0" borderId="0" xfId="6" applyAlignment="1">
      <alignment vertical="center"/>
    </xf>
    <xf numFmtId="0" fontId="10" fillId="0" borderId="0" xfId="7" applyAlignment="1">
      <alignment vertical="center"/>
    </xf>
    <xf numFmtId="171" fontId="0" fillId="7" borderId="18" xfId="0" applyNumberFormat="1" applyFill="1" applyBorder="1" applyAlignment="1">
      <alignment horizontal="center" vertical="center" wrapText="1"/>
    </xf>
    <xf numFmtId="171" fontId="0" fillId="7" borderId="16" xfId="0" applyNumberFormat="1" applyFill="1" applyBorder="1" applyAlignment="1">
      <alignment horizontal="center" vertical="center" wrapText="1"/>
    </xf>
    <xf numFmtId="171" fontId="0" fillId="7" borderId="19" xfId="0" applyNumberFormat="1" applyFill="1" applyBorder="1" applyAlignment="1">
      <alignment horizontal="center" vertical="center" wrapText="1"/>
    </xf>
    <xf numFmtId="170" fontId="9" fillId="0" borderId="3" xfId="9">
      <alignment horizontal="center" vertical="center"/>
    </xf>
    <xf numFmtId="171" fontId="0" fillId="7" borderId="15" xfId="0" applyNumberFormat="1" applyFill="1" applyBorder="1" applyAlignment="1">
      <alignment horizontal="center" vertical="center"/>
    </xf>
    <xf numFmtId="171" fontId="0" fillId="7" borderId="16" xfId="0" applyNumberFormat="1" applyFill="1" applyBorder="1" applyAlignment="1">
      <alignment horizontal="center" vertical="center"/>
    </xf>
    <xf numFmtId="171" fontId="0" fillId="7" borderId="17" xfId="0" applyNumberFormat="1" applyFill="1" applyBorder="1" applyAlignment="1">
      <alignment horizontal="center" vertical="center"/>
    </xf>
    <xf numFmtId="171" fontId="0" fillId="7" borderId="17" xfId="0" applyNumberFormat="1" applyFill="1" applyBorder="1" applyAlignment="1">
      <alignment horizontal="center" vertical="center" wrapText="1"/>
    </xf>
    <xf numFmtId="0" fontId="9" fillId="0" borderId="0" xfId="8">
      <alignment horizontal="right" indent="1"/>
    </xf>
    <xf numFmtId="0" fontId="9" fillId="0" borderId="4" xfId="8" applyBorder="1">
      <alignment horizontal="right" indent="1"/>
    </xf>
    <xf numFmtId="0" fontId="0" fillId="0" borderId="6" xfId="0" applyFill="1" applyBorder="1" applyAlignment="1">
      <alignment vertical="center"/>
    </xf>
    <xf numFmtId="0" fontId="7" fillId="13" borderId="1" xfId="0" applyFont="1" applyFill="1" applyBorder="1" applyAlignment="1">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40">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39"/>
      <tableStyleElement type="headerRow" dxfId="38"/>
      <tableStyleElement type="totalRow" dxfId="37"/>
      <tableStyleElement type="firstColumn" dxfId="36"/>
      <tableStyleElement type="lastColumn" dxfId="35"/>
      <tableStyleElement type="firstRowStripe" dxfId="34"/>
      <tableStyleElement type="secondRowStripe" dxfId="33"/>
      <tableStyleElement type="firstColumnStripe" dxfId="32"/>
      <tableStyleElement type="secondColumnStripe" dxfId="3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P42"/>
  <sheetViews>
    <sheetView showGridLines="0" tabSelected="1" showRuler="0" zoomScale="85" zoomScaleNormal="85" zoomScalePageLayoutView="70" workbookViewId="0">
      <pane xSplit="8" ySplit="7" topLeftCell="AZ8" activePane="bottomRight" state="frozen"/>
      <selection pane="topRight" activeCell="I1" sqref="I1"/>
      <selection pane="bottomLeft" activeCell="A8" sqref="A8"/>
      <selection pane="bottomRight" activeCell="C12" sqref="C12"/>
    </sheetView>
  </sheetViews>
  <sheetFormatPr baseColWidth="10" defaultColWidth="9.140625" defaultRowHeight="30" customHeight="1" x14ac:dyDescent="0.25"/>
  <cols>
    <col min="1" max="1" width="2.7109375" style="32" customWidth="1"/>
    <col min="2" max="2" width="58.7109375" customWidth="1"/>
    <col min="3" max="3" width="18.28515625" customWidth="1"/>
    <col min="4" max="4" width="12.7109375" customWidth="1"/>
    <col min="5" max="5" width="10.42578125" style="5" customWidth="1"/>
    <col min="6" max="6" width="10.42578125" customWidth="1"/>
    <col min="7" max="7" width="3.140625" customWidth="1"/>
    <col min="8" max="8" width="6.140625" hidden="1" customWidth="1"/>
    <col min="9" max="15" width="3.85546875" customWidth="1"/>
    <col min="16" max="29" width="3.28515625" customWidth="1"/>
    <col min="30" max="50" width="3.7109375" customWidth="1"/>
    <col min="51" max="85" width="4" customWidth="1"/>
    <col min="86" max="92" width="3.7109375" customWidth="1"/>
    <col min="93" max="120" width="4" customWidth="1"/>
    <col min="125" max="126" width="10.28515625"/>
  </cols>
  <sheetData>
    <row r="1" spans="1:120" ht="30" customHeight="1" x14ac:dyDescent="0.45">
      <c r="A1" s="33" t="s">
        <v>0</v>
      </c>
      <c r="B1" s="36" t="s">
        <v>46</v>
      </c>
      <c r="C1" s="1"/>
      <c r="D1" s="2"/>
      <c r="E1" s="4"/>
      <c r="F1" s="31"/>
      <c r="H1" s="2"/>
      <c r="I1" s="50"/>
    </row>
    <row r="2" spans="1:120" ht="30" customHeight="1" x14ac:dyDescent="0.25">
      <c r="A2" s="32" t="s">
        <v>1</v>
      </c>
      <c r="B2" s="68" t="s">
        <v>47</v>
      </c>
      <c r="I2" s="51"/>
    </row>
    <row r="3" spans="1:120" ht="30" customHeight="1" x14ac:dyDescent="0.25">
      <c r="A3" s="32" t="s">
        <v>2</v>
      </c>
      <c r="B3" s="69" t="s">
        <v>48</v>
      </c>
      <c r="C3" s="78" t="s">
        <v>14</v>
      </c>
      <c r="D3" s="79"/>
      <c r="E3" s="73">
        <v>45894</v>
      </c>
      <c r="F3" s="73"/>
    </row>
    <row r="4" spans="1:120" ht="30" customHeight="1" x14ac:dyDescent="0.25">
      <c r="A4" s="33" t="s">
        <v>3</v>
      </c>
      <c r="B4" s="69" t="s">
        <v>49</v>
      </c>
      <c r="C4" s="78" t="s">
        <v>15</v>
      </c>
      <c r="D4" s="79"/>
      <c r="E4" s="7">
        <v>1</v>
      </c>
      <c r="I4" s="74">
        <f>I5</f>
        <v>45894</v>
      </c>
      <c r="J4" s="75"/>
      <c r="K4" s="75"/>
      <c r="L4" s="75"/>
      <c r="M4" s="75"/>
      <c r="N4" s="75"/>
      <c r="O4" s="76"/>
      <c r="P4" s="70">
        <f>P5</f>
        <v>45901</v>
      </c>
      <c r="Q4" s="71"/>
      <c r="R4" s="71"/>
      <c r="S4" s="71"/>
      <c r="T4" s="71"/>
      <c r="U4" s="71"/>
      <c r="V4" s="77"/>
      <c r="W4" s="70">
        <f>W5</f>
        <v>45908</v>
      </c>
      <c r="X4" s="71"/>
      <c r="Y4" s="71"/>
      <c r="Z4" s="71"/>
      <c r="AA4" s="71"/>
      <c r="AB4" s="71"/>
      <c r="AC4" s="77"/>
      <c r="AD4" s="70">
        <f>AD5</f>
        <v>45915</v>
      </c>
      <c r="AE4" s="71"/>
      <c r="AF4" s="71"/>
      <c r="AG4" s="71"/>
      <c r="AH4" s="71"/>
      <c r="AI4" s="71"/>
      <c r="AJ4" s="77"/>
      <c r="AK4" s="70">
        <f>AK5</f>
        <v>45922</v>
      </c>
      <c r="AL4" s="71"/>
      <c r="AM4" s="71"/>
      <c r="AN4" s="71"/>
      <c r="AO4" s="71"/>
      <c r="AP4" s="71"/>
      <c r="AQ4" s="77"/>
      <c r="AR4" s="70">
        <f>AR5</f>
        <v>45929</v>
      </c>
      <c r="AS4" s="71"/>
      <c r="AT4" s="71"/>
      <c r="AU4" s="71"/>
      <c r="AV4" s="71"/>
      <c r="AW4" s="71"/>
      <c r="AX4" s="77"/>
      <c r="AY4" s="70">
        <f>AY5</f>
        <v>45936</v>
      </c>
      <c r="AZ4" s="71"/>
      <c r="BA4" s="71"/>
      <c r="BB4" s="71"/>
      <c r="BC4" s="71"/>
      <c r="BD4" s="71"/>
      <c r="BE4" s="77"/>
      <c r="BF4" s="70">
        <f>BF5</f>
        <v>45943</v>
      </c>
      <c r="BG4" s="71"/>
      <c r="BH4" s="71"/>
      <c r="BI4" s="71"/>
      <c r="BJ4" s="71"/>
      <c r="BK4" s="71"/>
      <c r="BL4" s="72"/>
      <c r="BM4" s="70">
        <f>BM5</f>
        <v>45950</v>
      </c>
      <c r="BN4" s="71"/>
      <c r="BO4" s="71"/>
      <c r="BP4" s="71"/>
      <c r="BQ4" s="71"/>
      <c r="BR4" s="71"/>
      <c r="BS4" s="72"/>
      <c r="BT4" s="70">
        <f>BT5</f>
        <v>45957</v>
      </c>
      <c r="BU4" s="71"/>
      <c r="BV4" s="71"/>
      <c r="BW4" s="71"/>
      <c r="BX4" s="71"/>
      <c r="BY4" s="71"/>
      <c r="BZ4" s="72"/>
      <c r="CA4" s="70">
        <f>CA5</f>
        <v>45964</v>
      </c>
      <c r="CB4" s="71"/>
      <c r="CC4" s="71"/>
      <c r="CD4" s="71"/>
      <c r="CE4" s="71"/>
      <c r="CF4" s="71"/>
      <c r="CG4" s="72"/>
      <c r="CH4" s="70">
        <f>CH5</f>
        <v>45971</v>
      </c>
      <c r="CI4" s="71"/>
      <c r="CJ4" s="71"/>
      <c r="CK4" s="71"/>
      <c r="CL4" s="71"/>
      <c r="CM4" s="71"/>
      <c r="CN4" s="77"/>
      <c r="CO4" s="70">
        <f>CO5</f>
        <v>45978</v>
      </c>
      <c r="CP4" s="71"/>
      <c r="CQ4" s="71"/>
      <c r="CR4" s="71"/>
      <c r="CS4" s="71"/>
      <c r="CT4" s="71"/>
      <c r="CU4" s="77"/>
      <c r="CV4" s="70">
        <f>CV5</f>
        <v>45985</v>
      </c>
      <c r="CW4" s="71"/>
      <c r="CX4" s="71"/>
      <c r="CY4" s="71"/>
      <c r="CZ4" s="71"/>
      <c r="DA4" s="71"/>
      <c r="DB4" s="72"/>
      <c r="DC4" s="70">
        <f>DC5</f>
        <v>45992</v>
      </c>
      <c r="DD4" s="71"/>
      <c r="DE4" s="71"/>
      <c r="DF4" s="71"/>
      <c r="DG4" s="71"/>
      <c r="DH4" s="71"/>
      <c r="DI4" s="72"/>
      <c r="DJ4" s="70">
        <f>DJ5</f>
        <v>45999</v>
      </c>
      <c r="DK4" s="71"/>
      <c r="DL4" s="71"/>
      <c r="DM4" s="71"/>
      <c r="DN4" s="71"/>
      <c r="DO4" s="71"/>
      <c r="DP4" s="72"/>
    </row>
    <row r="5" spans="1:120" ht="15" customHeight="1" x14ac:dyDescent="0.25">
      <c r="A5" s="33" t="s">
        <v>4</v>
      </c>
      <c r="B5" s="49"/>
      <c r="C5" s="49"/>
      <c r="D5" s="49"/>
      <c r="E5" s="49"/>
      <c r="F5" s="49"/>
      <c r="G5" s="49"/>
      <c r="I5" s="66">
        <f>Inicio_del_proyecto-WEEKDAY(Inicio_del_proyecto,1)+2+7*(Semana_para_mostrar-1)</f>
        <v>45894</v>
      </c>
      <c r="J5" s="66">
        <f>I5+1</f>
        <v>45895</v>
      </c>
      <c r="K5" s="66">
        <f t="shared" ref="K5:AX5" si="0">J5+1</f>
        <v>45896</v>
      </c>
      <c r="L5" s="66">
        <f t="shared" si="0"/>
        <v>45897</v>
      </c>
      <c r="M5" s="66">
        <f t="shared" si="0"/>
        <v>45898</v>
      </c>
      <c r="N5" s="66">
        <f t="shared" si="0"/>
        <v>45899</v>
      </c>
      <c r="O5" s="66">
        <f t="shared" si="0"/>
        <v>45900</v>
      </c>
      <c r="P5" s="66">
        <f>O5+1</f>
        <v>45901</v>
      </c>
      <c r="Q5" s="66">
        <f>P5+1</f>
        <v>45902</v>
      </c>
      <c r="R5" s="66">
        <f t="shared" si="0"/>
        <v>45903</v>
      </c>
      <c r="S5" s="66">
        <f t="shared" si="0"/>
        <v>45904</v>
      </c>
      <c r="T5" s="66">
        <f t="shared" si="0"/>
        <v>45905</v>
      </c>
      <c r="U5" s="66">
        <f t="shared" si="0"/>
        <v>45906</v>
      </c>
      <c r="V5" s="66">
        <f t="shared" si="0"/>
        <v>45907</v>
      </c>
      <c r="W5" s="66">
        <f>V5+1</f>
        <v>45908</v>
      </c>
      <c r="X5" s="66">
        <f>W5+1</f>
        <v>45909</v>
      </c>
      <c r="Y5" s="66">
        <f t="shared" si="0"/>
        <v>45910</v>
      </c>
      <c r="Z5" s="66">
        <f t="shared" si="0"/>
        <v>45911</v>
      </c>
      <c r="AA5" s="66">
        <f t="shared" si="0"/>
        <v>45912</v>
      </c>
      <c r="AB5" s="66">
        <f t="shared" si="0"/>
        <v>45913</v>
      </c>
      <c r="AC5" s="66">
        <f t="shared" si="0"/>
        <v>45914</v>
      </c>
      <c r="AD5" s="66">
        <f>AC5+1</f>
        <v>45915</v>
      </c>
      <c r="AE5" s="66">
        <f>AD5+1</f>
        <v>45916</v>
      </c>
      <c r="AF5" s="66">
        <f t="shared" si="0"/>
        <v>45917</v>
      </c>
      <c r="AG5" s="66">
        <f t="shared" si="0"/>
        <v>45918</v>
      </c>
      <c r="AH5" s="66">
        <f t="shared" si="0"/>
        <v>45919</v>
      </c>
      <c r="AI5" s="66">
        <f t="shared" si="0"/>
        <v>45920</v>
      </c>
      <c r="AJ5" s="66">
        <f t="shared" si="0"/>
        <v>45921</v>
      </c>
      <c r="AK5" s="66">
        <f>AJ5+1</f>
        <v>45922</v>
      </c>
      <c r="AL5" s="66">
        <f>AK5+1</f>
        <v>45923</v>
      </c>
      <c r="AM5" s="66">
        <f t="shared" si="0"/>
        <v>45924</v>
      </c>
      <c r="AN5" s="66">
        <f t="shared" si="0"/>
        <v>45925</v>
      </c>
      <c r="AO5" s="66">
        <f t="shared" si="0"/>
        <v>45926</v>
      </c>
      <c r="AP5" s="66">
        <f t="shared" si="0"/>
        <v>45927</v>
      </c>
      <c r="AQ5" s="66">
        <f t="shared" si="0"/>
        <v>45928</v>
      </c>
      <c r="AR5" s="66">
        <f>AQ5+1</f>
        <v>45929</v>
      </c>
      <c r="AS5" s="66">
        <f>AR5+1</f>
        <v>45930</v>
      </c>
      <c r="AT5" s="66">
        <f t="shared" si="0"/>
        <v>45931</v>
      </c>
      <c r="AU5" s="66">
        <f t="shared" si="0"/>
        <v>45932</v>
      </c>
      <c r="AV5" s="66">
        <f t="shared" si="0"/>
        <v>45933</v>
      </c>
      <c r="AW5" s="66">
        <f t="shared" si="0"/>
        <v>45934</v>
      </c>
      <c r="AX5" s="66">
        <f t="shared" si="0"/>
        <v>45935</v>
      </c>
      <c r="AY5" s="66">
        <f>AX5+1</f>
        <v>45936</v>
      </c>
      <c r="AZ5" s="66">
        <f>AY5+1</f>
        <v>45937</v>
      </c>
      <c r="BA5" s="66">
        <f t="shared" ref="BA5:BE5" si="1">AZ5+1</f>
        <v>45938</v>
      </c>
      <c r="BB5" s="66">
        <f t="shared" si="1"/>
        <v>45939</v>
      </c>
      <c r="BC5" s="66">
        <f t="shared" si="1"/>
        <v>45940</v>
      </c>
      <c r="BD5" s="66">
        <f t="shared" si="1"/>
        <v>45941</v>
      </c>
      <c r="BE5" s="66">
        <f t="shared" si="1"/>
        <v>45942</v>
      </c>
      <c r="BF5" s="66">
        <f>BE5+1</f>
        <v>45943</v>
      </c>
      <c r="BG5" s="66">
        <f>BF5+1</f>
        <v>45944</v>
      </c>
      <c r="BH5" s="66">
        <f t="shared" ref="BH5:BL5" si="2">BG5+1</f>
        <v>45945</v>
      </c>
      <c r="BI5" s="66">
        <f t="shared" si="2"/>
        <v>45946</v>
      </c>
      <c r="BJ5" s="66">
        <f t="shared" si="2"/>
        <v>45947</v>
      </c>
      <c r="BK5" s="66">
        <f t="shared" si="2"/>
        <v>45948</v>
      </c>
      <c r="BL5" s="66">
        <f t="shared" si="2"/>
        <v>45949</v>
      </c>
      <c r="BM5" s="66">
        <f>BL5+1</f>
        <v>45950</v>
      </c>
      <c r="BN5" s="66">
        <f>BM5+1</f>
        <v>45951</v>
      </c>
      <c r="BO5" s="66">
        <f t="shared" ref="BO5" si="3">BN5+1</f>
        <v>45952</v>
      </c>
      <c r="BP5" s="66">
        <f t="shared" ref="BP5" si="4">BO5+1</f>
        <v>45953</v>
      </c>
      <c r="BQ5" s="66">
        <f t="shared" ref="BQ5" si="5">BP5+1</f>
        <v>45954</v>
      </c>
      <c r="BR5" s="66">
        <f t="shared" ref="BR5" si="6">BQ5+1</f>
        <v>45955</v>
      </c>
      <c r="BS5" s="66">
        <f t="shared" ref="BS5" si="7">BR5+1</f>
        <v>45956</v>
      </c>
      <c r="BT5" s="66">
        <f>BS5+1</f>
        <v>45957</v>
      </c>
      <c r="BU5" s="66">
        <f>BT5+1</f>
        <v>45958</v>
      </c>
      <c r="BV5" s="66">
        <f t="shared" ref="BV5" si="8">BU5+1</f>
        <v>45959</v>
      </c>
      <c r="BW5" s="66">
        <f t="shared" ref="BW5" si="9">BV5+1</f>
        <v>45960</v>
      </c>
      <c r="BX5" s="66">
        <f t="shared" ref="BX5" si="10">BW5+1</f>
        <v>45961</v>
      </c>
      <c r="BY5" s="66">
        <f t="shared" ref="BY5" si="11">BX5+1</f>
        <v>45962</v>
      </c>
      <c r="BZ5" s="66">
        <f t="shared" ref="BZ5" si="12">BY5+1</f>
        <v>45963</v>
      </c>
      <c r="CA5" s="66">
        <f>BZ5+1</f>
        <v>45964</v>
      </c>
      <c r="CB5" s="66">
        <f>CA5+1</f>
        <v>45965</v>
      </c>
      <c r="CC5" s="66">
        <f t="shared" ref="CC5" si="13">CB5+1</f>
        <v>45966</v>
      </c>
      <c r="CD5" s="66">
        <f t="shared" ref="CD5" si="14">CC5+1</f>
        <v>45967</v>
      </c>
      <c r="CE5" s="66">
        <f t="shared" ref="CE5" si="15">CD5+1</f>
        <v>45968</v>
      </c>
      <c r="CF5" s="66">
        <f t="shared" ref="CF5" si="16">CE5+1</f>
        <v>45969</v>
      </c>
      <c r="CG5" s="66">
        <f t="shared" ref="CG5" si="17">CF5+1</f>
        <v>45970</v>
      </c>
      <c r="CH5" s="66">
        <f>CG5+1</f>
        <v>45971</v>
      </c>
      <c r="CI5" s="66">
        <f>CH5+1</f>
        <v>45972</v>
      </c>
      <c r="CJ5" s="66">
        <f t="shared" ref="CJ5" si="18">CI5+1</f>
        <v>45973</v>
      </c>
      <c r="CK5" s="66">
        <f t="shared" ref="CK5" si="19">CJ5+1</f>
        <v>45974</v>
      </c>
      <c r="CL5" s="66">
        <f t="shared" ref="CL5" si="20">CK5+1</f>
        <v>45975</v>
      </c>
      <c r="CM5" s="66">
        <f t="shared" ref="CM5" si="21">CL5+1</f>
        <v>45976</v>
      </c>
      <c r="CN5" s="66">
        <f t="shared" ref="CN5" si="22">CM5+1</f>
        <v>45977</v>
      </c>
      <c r="CO5" s="66">
        <f>CN5+1</f>
        <v>45978</v>
      </c>
      <c r="CP5" s="66">
        <f>CO5+1</f>
        <v>45979</v>
      </c>
      <c r="CQ5" s="66">
        <f t="shared" ref="CQ5" si="23">CP5+1</f>
        <v>45980</v>
      </c>
      <c r="CR5" s="66">
        <f t="shared" ref="CR5" si="24">CQ5+1</f>
        <v>45981</v>
      </c>
      <c r="CS5" s="66">
        <f t="shared" ref="CS5" si="25">CR5+1</f>
        <v>45982</v>
      </c>
      <c r="CT5" s="66">
        <f t="shared" ref="CT5" si="26">CS5+1</f>
        <v>45983</v>
      </c>
      <c r="CU5" s="66">
        <f t="shared" ref="CU5" si="27">CT5+1</f>
        <v>45984</v>
      </c>
      <c r="CV5" s="66">
        <f>CU5+1</f>
        <v>45985</v>
      </c>
      <c r="CW5" s="66">
        <f>CV5+1</f>
        <v>45986</v>
      </c>
      <c r="CX5" s="66">
        <f t="shared" ref="CX5" si="28">CW5+1</f>
        <v>45987</v>
      </c>
      <c r="CY5" s="66">
        <f t="shared" ref="CY5" si="29">CX5+1</f>
        <v>45988</v>
      </c>
      <c r="CZ5" s="66">
        <f t="shared" ref="CZ5" si="30">CY5+1</f>
        <v>45989</v>
      </c>
      <c r="DA5" s="66">
        <f t="shared" ref="DA5" si="31">CZ5+1</f>
        <v>45990</v>
      </c>
      <c r="DB5" s="66">
        <f t="shared" ref="DB5" si="32">DA5+1</f>
        <v>45991</v>
      </c>
      <c r="DC5" s="66">
        <f>DB5+1</f>
        <v>45992</v>
      </c>
      <c r="DD5" s="66">
        <f>DC5+1</f>
        <v>45993</v>
      </c>
      <c r="DE5" s="66">
        <f t="shared" ref="DE5" si="33">DD5+1</f>
        <v>45994</v>
      </c>
      <c r="DF5" s="66">
        <f t="shared" ref="DF5" si="34">DE5+1</f>
        <v>45995</v>
      </c>
      <c r="DG5" s="66">
        <f t="shared" ref="DG5" si="35">DF5+1</f>
        <v>45996</v>
      </c>
      <c r="DH5" s="66">
        <f t="shared" ref="DH5" si="36">DG5+1</f>
        <v>45997</v>
      </c>
      <c r="DI5" s="66">
        <f t="shared" ref="DI5" si="37">DH5+1</f>
        <v>45998</v>
      </c>
      <c r="DJ5" s="66">
        <f>DI5+1</f>
        <v>45999</v>
      </c>
      <c r="DK5" s="66">
        <f>DJ5+1</f>
        <v>46000</v>
      </c>
      <c r="DL5" s="66">
        <f t="shared" ref="DL5" si="38">DK5+1</f>
        <v>46001</v>
      </c>
      <c r="DM5" s="66">
        <f t="shared" ref="DM5" si="39">DL5+1</f>
        <v>46002</v>
      </c>
      <c r="DN5" s="66">
        <f t="shared" ref="DN5" si="40">DM5+1</f>
        <v>46003</v>
      </c>
      <c r="DO5" s="66">
        <f t="shared" ref="DO5" si="41">DN5+1</f>
        <v>46004</v>
      </c>
      <c r="DP5" s="66">
        <f t="shared" ref="DP5" si="42">DO5+1</f>
        <v>46005</v>
      </c>
    </row>
    <row r="6" spans="1:120" ht="30" customHeight="1" thickBot="1" x14ac:dyDescent="0.3">
      <c r="A6" s="33" t="s">
        <v>5</v>
      </c>
      <c r="B6" s="8" t="s">
        <v>13</v>
      </c>
      <c r="C6" s="81" t="s">
        <v>50</v>
      </c>
      <c r="D6" s="9" t="s">
        <v>16</v>
      </c>
      <c r="E6" s="9" t="s">
        <v>17</v>
      </c>
      <c r="F6" s="9" t="s">
        <v>18</v>
      </c>
      <c r="G6" s="9"/>
      <c r="H6" s="9" t="s">
        <v>19</v>
      </c>
      <c r="I6" s="10" t="str">
        <f t="shared" ref="I6" si="43">LEFT(TEXT(I5,"ddd"),1)</f>
        <v>l</v>
      </c>
      <c r="J6" s="10" t="str">
        <f t="shared" ref="J6:AR6" si="44">LEFT(TEXT(J5,"ddd"),1)</f>
        <v>m</v>
      </c>
      <c r="K6" s="10" t="str">
        <f t="shared" si="44"/>
        <v>m</v>
      </c>
      <c r="L6" s="10" t="str">
        <f t="shared" si="44"/>
        <v>j</v>
      </c>
      <c r="M6" s="10" t="str">
        <f t="shared" si="44"/>
        <v>v</v>
      </c>
      <c r="N6" s="10" t="str">
        <f t="shared" si="44"/>
        <v>s</v>
      </c>
      <c r="O6" s="10" t="str">
        <f t="shared" si="44"/>
        <v>d</v>
      </c>
      <c r="P6" s="10" t="str">
        <f t="shared" si="44"/>
        <v>l</v>
      </c>
      <c r="Q6" s="10" t="str">
        <f t="shared" si="44"/>
        <v>m</v>
      </c>
      <c r="R6" s="10" t="str">
        <f t="shared" si="44"/>
        <v>m</v>
      </c>
      <c r="S6" s="10" t="str">
        <f t="shared" si="44"/>
        <v>j</v>
      </c>
      <c r="T6" s="10" t="str">
        <f t="shared" si="44"/>
        <v>v</v>
      </c>
      <c r="U6" s="10" t="str">
        <f t="shared" si="44"/>
        <v>s</v>
      </c>
      <c r="V6" s="10" t="str">
        <f t="shared" si="44"/>
        <v>d</v>
      </c>
      <c r="W6" s="10" t="str">
        <f t="shared" si="44"/>
        <v>l</v>
      </c>
      <c r="X6" s="10" t="str">
        <f t="shared" si="44"/>
        <v>m</v>
      </c>
      <c r="Y6" s="10" t="str">
        <f t="shared" si="44"/>
        <v>m</v>
      </c>
      <c r="Z6" s="10" t="str">
        <f t="shared" si="44"/>
        <v>j</v>
      </c>
      <c r="AA6" s="10" t="str">
        <f t="shared" si="44"/>
        <v>v</v>
      </c>
      <c r="AB6" s="10" t="str">
        <f t="shared" si="44"/>
        <v>s</v>
      </c>
      <c r="AC6" s="10" t="str">
        <f t="shared" si="44"/>
        <v>d</v>
      </c>
      <c r="AD6" s="10" t="str">
        <f t="shared" si="44"/>
        <v>l</v>
      </c>
      <c r="AE6" s="10" t="str">
        <f t="shared" si="44"/>
        <v>m</v>
      </c>
      <c r="AF6" s="10" t="str">
        <f t="shared" si="44"/>
        <v>m</v>
      </c>
      <c r="AG6" s="10" t="str">
        <f t="shared" si="44"/>
        <v>j</v>
      </c>
      <c r="AH6" s="10" t="str">
        <f t="shared" si="44"/>
        <v>v</v>
      </c>
      <c r="AI6" s="10" t="str">
        <f t="shared" si="44"/>
        <v>s</v>
      </c>
      <c r="AJ6" s="10" t="str">
        <f t="shared" si="44"/>
        <v>d</v>
      </c>
      <c r="AK6" s="10" t="str">
        <f t="shared" si="44"/>
        <v>l</v>
      </c>
      <c r="AL6" s="10" t="str">
        <f t="shared" si="44"/>
        <v>m</v>
      </c>
      <c r="AM6" s="10" t="str">
        <f t="shared" si="44"/>
        <v>m</v>
      </c>
      <c r="AN6" s="10" t="str">
        <f t="shared" si="44"/>
        <v>j</v>
      </c>
      <c r="AO6" s="10" t="str">
        <f t="shared" si="44"/>
        <v>v</v>
      </c>
      <c r="AP6" s="10" t="str">
        <f t="shared" si="44"/>
        <v>s</v>
      </c>
      <c r="AQ6" s="10" t="str">
        <f t="shared" si="44"/>
        <v>d</v>
      </c>
      <c r="AR6" s="10" t="str">
        <f t="shared" si="44"/>
        <v>l</v>
      </c>
      <c r="AS6" s="10" t="str">
        <f t="shared" ref="AS6:BL6" si="45">LEFT(TEXT(AS5,"ddd"),1)</f>
        <v>m</v>
      </c>
      <c r="AT6" s="10" t="str">
        <f t="shared" si="45"/>
        <v>m</v>
      </c>
      <c r="AU6" s="10" t="str">
        <f t="shared" si="45"/>
        <v>j</v>
      </c>
      <c r="AV6" s="10" t="str">
        <f t="shared" si="45"/>
        <v>v</v>
      </c>
      <c r="AW6" s="10" t="str">
        <f t="shared" si="45"/>
        <v>s</v>
      </c>
      <c r="AX6" s="10" t="str">
        <f t="shared" si="45"/>
        <v>d</v>
      </c>
      <c r="AY6" s="10" t="str">
        <f t="shared" si="45"/>
        <v>l</v>
      </c>
      <c r="AZ6" s="10" t="str">
        <f t="shared" si="45"/>
        <v>m</v>
      </c>
      <c r="BA6" s="10" t="str">
        <f t="shared" si="45"/>
        <v>m</v>
      </c>
      <c r="BB6" s="10" t="str">
        <f t="shared" si="45"/>
        <v>j</v>
      </c>
      <c r="BC6" s="10" t="str">
        <f t="shared" si="45"/>
        <v>v</v>
      </c>
      <c r="BD6" s="10" t="str">
        <f t="shared" si="45"/>
        <v>s</v>
      </c>
      <c r="BE6" s="10" t="str">
        <f t="shared" si="45"/>
        <v>d</v>
      </c>
      <c r="BF6" s="10" t="str">
        <f t="shared" si="45"/>
        <v>l</v>
      </c>
      <c r="BG6" s="10" t="str">
        <f t="shared" si="45"/>
        <v>m</v>
      </c>
      <c r="BH6" s="10" t="str">
        <f t="shared" si="45"/>
        <v>m</v>
      </c>
      <c r="BI6" s="10" t="str">
        <f t="shared" si="45"/>
        <v>j</v>
      </c>
      <c r="BJ6" s="10" t="str">
        <f t="shared" si="45"/>
        <v>v</v>
      </c>
      <c r="BK6" s="10" t="str">
        <f t="shared" si="45"/>
        <v>s</v>
      </c>
      <c r="BL6" s="10" t="str">
        <f t="shared" si="45"/>
        <v>d</v>
      </c>
      <c r="BM6" s="10" t="str">
        <f t="shared" ref="BM6:BS6" si="46">LEFT(TEXT(BM5,"ddd"),1)</f>
        <v>l</v>
      </c>
      <c r="BN6" s="10" t="str">
        <f t="shared" si="46"/>
        <v>m</v>
      </c>
      <c r="BO6" s="10" t="str">
        <f t="shared" si="46"/>
        <v>m</v>
      </c>
      <c r="BP6" s="10" t="str">
        <f t="shared" si="46"/>
        <v>j</v>
      </c>
      <c r="BQ6" s="10" t="str">
        <f t="shared" si="46"/>
        <v>v</v>
      </c>
      <c r="BR6" s="10" t="str">
        <f t="shared" si="46"/>
        <v>s</v>
      </c>
      <c r="BS6" s="10" t="str">
        <f t="shared" si="46"/>
        <v>d</v>
      </c>
      <c r="BT6" s="10" t="str">
        <f t="shared" ref="BT6:BZ6" si="47">LEFT(TEXT(BT5,"ddd"),1)</f>
        <v>l</v>
      </c>
      <c r="BU6" s="10" t="str">
        <f t="shared" si="47"/>
        <v>m</v>
      </c>
      <c r="BV6" s="10" t="str">
        <f t="shared" si="47"/>
        <v>m</v>
      </c>
      <c r="BW6" s="10" t="str">
        <f t="shared" si="47"/>
        <v>j</v>
      </c>
      <c r="BX6" s="10" t="str">
        <f t="shared" si="47"/>
        <v>v</v>
      </c>
      <c r="BY6" s="10" t="str">
        <f t="shared" si="47"/>
        <v>s</v>
      </c>
      <c r="BZ6" s="10" t="str">
        <f t="shared" si="47"/>
        <v>d</v>
      </c>
      <c r="CA6" s="10" t="str">
        <f t="shared" ref="CA6:DP6" si="48">LEFT(TEXT(CA5,"ddd"),1)</f>
        <v>l</v>
      </c>
      <c r="CB6" s="10" t="str">
        <f t="shared" si="48"/>
        <v>m</v>
      </c>
      <c r="CC6" s="10" t="str">
        <f t="shared" si="48"/>
        <v>m</v>
      </c>
      <c r="CD6" s="10" t="str">
        <f t="shared" si="48"/>
        <v>j</v>
      </c>
      <c r="CE6" s="10" t="str">
        <f t="shared" si="48"/>
        <v>v</v>
      </c>
      <c r="CF6" s="10" t="str">
        <f t="shared" si="48"/>
        <v>s</v>
      </c>
      <c r="CG6" s="10" t="str">
        <f t="shared" si="48"/>
        <v>d</v>
      </c>
      <c r="CH6" s="10" t="str">
        <f t="shared" si="48"/>
        <v>l</v>
      </c>
      <c r="CI6" s="10" t="str">
        <f t="shared" si="48"/>
        <v>m</v>
      </c>
      <c r="CJ6" s="10" t="str">
        <f t="shared" si="48"/>
        <v>m</v>
      </c>
      <c r="CK6" s="10" t="str">
        <f t="shared" si="48"/>
        <v>j</v>
      </c>
      <c r="CL6" s="10" t="str">
        <f t="shared" si="48"/>
        <v>v</v>
      </c>
      <c r="CM6" s="10" t="str">
        <f t="shared" si="48"/>
        <v>s</v>
      </c>
      <c r="CN6" s="10" t="str">
        <f t="shared" si="48"/>
        <v>d</v>
      </c>
      <c r="CO6" s="10" t="str">
        <f t="shared" si="48"/>
        <v>l</v>
      </c>
      <c r="CP6" s="10" t="str">
        <f t="shared" si="48"/>
        <v>m</v>
      </c>
      <c r="CQ6" s="10" t="str">
        <f t="shared" si="48"/>
        <v>m</v>
      </c>
      <c r="CR6" s="10" t="str">
        <f t="shared" si="48"/>
        <v>j</v>
      </c>
      <c r="CS6" s="10" t="str">
        <f t="shared" si="48"/>
        <v>v</v>
      </c>
      <c r="CT6" s="10" t="str">
        <f t="shared" si="48"/>
        <v>s</v>
      </c>
      <c r="CU6" s="10" t="str">
        <f t="shared" si="48"/>
        <v>d</v>
      </c>
      <c r="CV6" s="10" t="str">
        <f t="shared" si="48"/>
        <v>l</v>
      </c>
      <c r="CW6" s="10" t="str">
        <f t="shared" si="48"/>
        <v>m</v>
      </c>
      <c r="CX6" s="10" t="str">
        <f t="shared" si="48"/>
        <v>m</v>
      </c>
      <c r="CY6" s="10" t="str">
        <f t="shared" si="48"/>
        <v>j</v>
      </c>
      <c r="CZ6" s="10" t="str">
        <f t="shared" si="48"/>
        <v>v</v>
      </c>
      <c r="DA6" s="10" t="str">
        <f t="shared" si="48"/>
        <v>s</v>
      </c>
      <c r="DB6" s="10" t="str">
        <f t="shared" si="48"/>
        <v>d</v>
      </c>
      <c r="DC6" s="10" t="str">
        <f t="shared" si="48"/>
        <v>l</v>
      </c>
      <c r="DD6" s="10" t="str">
        <f t="shared" si="48"/>
        <v>m</v>
      </c>
      <c r="DE6" s="10" t="str">
        <f t="shared" si="48"/>
        <v>m</v>
      </c>
      <c r="DF6" s="10" t="str">
        <f t="shared" si="48"/>
        <v>j</v>
      </c>
      <c r="DG6" s="10" t="str">
        <f t="shared" si="48"/>
        <v>v</v>
      </c>
      <c r="DH6" s="10" t="str">
        <f t="shared" si="48"/>
        <v>s</v>
      </c>
      <c r="DI6" s="10" t="str">
        <f t="shared" si="48"/>
        <v>d</v>
      </c>
      <c r="DJ6" s="10" t="str">
        <f t="shared" si="48"/>
        <v>l</v>
      </c>
      <c r="DK6" s="10" t="str">
        <f t="shared" si="48"/>
        <v>m</v>
      </c>
      <c r="DL6" s="10" t="str">
        <f t="shared" si="48"/>
        <v>m</v>
      </c>
      <c r="DM6" s="10" t="str">
        <f t="shared" si="48"/>
        <v>j</v>
      </c>
      <c r="DN6" s="10" t="str">
        <f t="shared" si="48"/>
        <v>v</v>
      </c>
      <c r="DO6" s="10" t="str">
        <f t="shared" si="48"/>
        <v>s</v>
      </c>
      <c r="DP6" s="10" t="str">
        <f t="shared" si="48"/>
        <v>d</v>
      </c>
    </row>
    <row r="7" spans="1:120" ht="30" hidden="1" customHeight="1" thickBot="1" x14ac:dyDescent="0.3">
      <c r="A7" s="32" t="s">
        <v>6</v>
      </c>
      <c r="C7" s="35"/>
      <c r="E7"/>
      <c r="H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row>
    <row r="8" spans="1:120" s="3" customFormat="1" ht="30" customHeight="1" thickBot="1" x14ac:dyDescent="0.3">
      <c r="A8" s="33" t="s">
        <v>7</v>
      </c>
      <c r="B8" s="14" t="s">
        <v>51</v>
      </c>
      <c r="C8" s="37"/>
      <c r="D8" s="15"/>
      <c r="E8" s="52"/>
      <c r="F8" s="53"/>
      <c r="G8" s="13"/>
      <c r="H8" s="13" t="str">
        <f t="shared" ref="H8:H39" si="49">IF(OR(ISBLANK(task_start),ISBLANK(task_end)),"",task_end-task_start+1)</f>
        <v/>
      </c>
      <c r="I8" s="67"/>
      <c r="J8" s="67"/>
      <c r="K8" s="67"/>
      <c r="L8" s="67"/>
      <c r="M8" s="67"/>
      <c r="N8" s="67"/>
      <c r="O8" s="67"/>
      <c r="P8" s="67"/>
      <c r="Q8" s="67"/>
      <c r="R8" s="67"/>
      <c r="S8" s="67"/>
      <c r="T8" s="67"/>
      <c r="U8" s="67"/>
      <c r="V8" s="67"/>
      <c r="W8" s="67"/>
      <c r="X8" s="67"/>
      <c r="Y8" s="67"/>
      <c r="Z8" s="67"/>
      <c r="AA8" s="67"/>
      <c r="AB8" s="67"/>
      <c r="AC8" s="67"/>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row>
    <row r="9" spans="1:120" s="3" customFormat="1" ht="30" customHeight="1" thickBot="1" x14ac:dyDescent="0.3">
      <c r="A9" s="33" t="s">
        <v>8</v>
      </c>
      <c r="B9" s="45" t="s">
        <v>20</v>
      </c>
      <c r="C9" s="38" t="s">
        <v>45</v>
      </c>
      <c r="D9" s="16">
        <v>1</v>
      </c>
      <c r="E9" s="54">
        <f>Inicio_del_proyecto</f>
        <v>45894</v>
      </c>
      <c r="F9" s="54">
        <f>E9+5</f>
        <v>45899</v>
      </c>
      <c r="G9" s="13"/>
      <c r="H9" s="13">
        <f t="shared" si="49"/>
        <v>6</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row>
    <row r="10" spans="1:120" s="3" customFormat="1" ht="30" customHeight="1" thickBot="1" x14ac:dyDescent="0.3">
      <c r="A10" s="33" t="s">
        <v>9</v>
      </c>
      <c r="B10" s="45" t="s">
        <v>23</v>
      </c>
      <c r="C10" s="38"/>
      <c r="D10" s="16">
        <v>1</v>
      </c>
      <c r="E10" s="54">
        <f>F9</f>
        <v>45899</v>
      </c>
      <c r="F10" s="54">
        <f>E10+5</f>
        <v>45904</v>
      </c>
      <c r="G10" s="13"/>
      <c r="H10" s="13">
        <f t="shared" si="49"/>
        <v>6</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row>
    <row r="11" spans="1:120" s="3" customFormat="1" ht="30" customHeight="1" thickBot="1" x14ac:dyDescent="0.3">
      <c r="A11" s="32"/>
      <c r="B11" s="45" t="s">
        <v>21</v>
      </c>
      <c r="C11" s="38"/>
      <c r="D11" s="16">
        <v>1</v>
      </c>
      <c r="E11" s="54">
        <f>F10</f>
        <v>45904</v>
      </c>
      <c r="F11" s="54">
        <f>E11+5</f>
        <v>45909</v>
      </c>
      <c r="G11" s="13"/>
      <c r="H11" s="13">
        <f t="shared" si="49"/>
        <v>6</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row>
    <row r="12" spans="1:120" s="3" customFormat="1" ht="30" customHeight="1" thickBot="1" x14ac:dyDescent="0.3">
      <c r="A12" s="32"/>
      <c r="B12" s="45" t="s">
        <v>22</v>
      </c>
      <c r="C12" s="38"/>
      <c r="D12" s="16">
        <v>1</v>
      </c>
      <c r="E12" s="54">
        <f>F11</f>
        <v>45909</v>
      </c>
      <c r="F12" s="54">
        <f>E12+5</f>
        <v>45914</v>
      </c>
      <c r="G12" s="13"/>
      <c r="H12" s="13">
        <f t="shared" si="49"/>
        <v>6</v>
      </c>
      <c r="I12" s="28"/>
      <c r="J12" s="28"/>
      <c r="K12" s="28"/>
      <c r="L12" s="28"/>
      <c r="M12" s="28"/>
      <c r="N12" s="28"/>
      <c r="O12" s="28"/>
      <c r="P12" s="28"/>
      <c r="Q12" s="28"/>
      <c r="R12" s="28"/>
      <c r="S12" s="28"/>
      <c r="T12" s="28"/>
      <c r="U12" s="28"/>
      <c r="V12" s="28"/>
      <c r="W12" s="28"/>
      <c r="X12" s="28"/>
      <c r="Y12" s="29"/>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row>
    <row r="13" spans="1:120" s="3" customFormat="1" ht="30" customHeight="1" thickBot="1" x14ac:dyDescent="0.3">
      <c r="A13" s="33" t="s">
        <v>10</v>
      </c>
      <c r="B13" s="17" t="s">
        <v>52</v>
      </c>
      <c r="C13" s="39"/>
      <c r="D13" s="18"/>
      <c r="E13" s="55"/>
      <c r="F13" s="56"/>
      <c r="G13" s="13"/>
      <c r="H13" s="13" t="str">
        <f t="shared" si="49"/>
        <v/>
      </c>
      <c r="I13" s="28"/>
      <c r="J13" s="28"/>
      <c r="K13" s="28"/>
      <c r="L13" s="28"/>
      <c r="M13" s="28"/>
      <c r="N13" s="28"/>
      <c r="O13" s="28"/>
      <c r="P13" s="28"/>
      <c r="Q13" s="28"/>
      <c r="R13" s="28"/>
      <c r="S13" s="28"/>
      <c r="T13" s="28"/>
      <c r="U13" s="28"/>
      <c r="V13" s="28"/>
      <c r="W13" s="80"/>
      <c r="X13" s="80"/>
      <c r="Y13" s="80"/>
      <c r="Z13" s="80"/>
      <c r="AA13" s="80"/>
      <c r="AB13" s="80"/>
      <c r="AC13" s="80"/>
      <c r="AD13" s="67"/>
      <c r="AE13" s="67"/>
      <c r="AF13" s="67"/>
      <c r="AG13" s="67"/>
      <c r="AH13" s="67"/>
      <c r="AI13" s="67"/>
      <c r="AJ13" s="67"/>
      <c r="AK13" s="67"/>
      <c r="AL13" s="67"/>
      <c r="AM13" s="67"/>
      <c r="AN13" s="67"/>
      <c r="AO13" s="67"/>
      <c r="AP13" s="67"/>
      <c r="AQ13" s="67"/>
      <c r="AR13" s="67"/>
      <c r="AS13" s="67"/>
      <c r="AT13" s="67"/>
      <c r="AU13" s="67"/>
      <c r="AV13" s="67"/>
      <c r="AW13" s="67"/>
      <c r="AX13" s="67"/>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row>
    <row r="14" spans="1:120" s="3" customFormat="1" ht="30" customHeight="1" thickBot="1" x14ac:dyDescent="0.3">
      <c r="A14" s="33"/>
      <c r="B14" s="46" t="s">
        <v>24</v>
      </c>
      <c r="C14" s="40"/>
      <c r="D14" s="19">
        <v>1</v>
      </c>
      <c r="E14" s="57">
        <f>F12+1</f>
        <v>45915</v>
      </c>
      <c r="F14" s="57">
        <f>E14+5</f>
        <v>45920</v>
      </c>
      <c r="G14" s="13"/>
      <c r="H14" s="13">
        <f t="shared" si="49"/>
        <v>6</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row>
    <row r="15" spans="1:120" s="3" customFormat="1" ht="30" customHeight="1" thickBot="1" x14ac:dyDescent="0.3">
      <c r="A15" s="32"/>
      <c r="B15" s="46" t="s">
        <v>25</v>
      </c>
      <c r="C15" s="40"/>
      <c r="D15" s="19">
        <v>1</v>
      </c>
      <c r="E15" s="57">
        <f>F14+1</f>
        <v>45921</v>
      </c>
      <c r="F15" s="57">
        <f>E15+4</f>
        <v>45925</v>
      </c>
      <c r="G15" s="13"/>
      <c r="H15" s="13">
        <f t="shared" si="49"/>
        <v>5</v>
      </c>
      <c r="I15" s="28"/>
      <c r="J15" s="28"/>
      <c r="K15" s="28"/>
      <c r="L15" s="28"/>
      <c r="M15" s="28"/>
      <c r="N15" s="28"/>
      <c r="O15" s="28"/>
      <c r="P15" s="28"/>
      <c r="Q15" s="28"/>
      <c r="R15" s="28"/>
      <c r="S15" s="28"/>
      <c r="T15" s="28"/>
      <c r="U15" s="29"/>
      <c r="V15" s="29"/>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row>
    <row r="16" spans="1:120" s="3" customFormat="1" ht="30" customHeight="1" thickBot="1" x14ac:dyDescent="0.3">
      <c r="A16" s="32"/>
      <c r="B16" s="46" t="s">
        <v>26</v>
      </c>
      <c r="C16" s="40"/>
      <c r="D16" s="19">
        <v>1</v>
      </c>
      <c r="E16" s="57">
        <f>F15+1</f>
        <v>45926</v>
      </c>
      <c r="F16" s="57">
        <f>E16+4</f>
        <v>45930</v>
      </c>
      <c r="G16" s="13"/>
      <c r="H16" s="13">
        <f t="shared" si="49"/>
        <v>5</v>
      </c>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row>
    <row r="17" spans="1:120" s="3" customFormat="1" ht="30" customHeight="1" thickBot="1" x14ac:dyDescent="0.3">
      <c r="A17" s="32"/>
      <c r="B17" s="46" t="s">
        <v>27</v>
      </c>
      <c r="C17" s="40"/>
      <c r="D17" s="19">
        <v>1</v>
      </c>
      <c r="E17" s="57">
        <f>F16+1</f>
        <v>45931</v>
      </c>
      <c r="F17" s="57">
        <f>E17+4</f>
        <v>45935</v>
      </c>
      <c r="G17" s="13"/>
      <c r="H17" s="13">
        <f t="shared" si="49"/>
        <v>5</v>
      </c>
      <c r="I17" s="28"/>
      <c r="J17" s="28"/>
      <c r="K17" s="28"/>
      <c r="L17" s="28"/>
      <c r="M17" s="28"/>
      <c r="N17" s="28"/>
      <c r="O17" s="28"/>
      <c r="P17" s="28"/>
      <c r="Q17" s="28"/>
      <c r="R17" s="28"/>
      <c r="S17" s="28"/>
      <c r="T17" s="28"/>
      <c r="U17" s="28"/>
      <c r="V17" s="28"/>
      <c r="W17" s="28"/>
      <c r="X17" s="28"/>
      <c r="Y17" s="29"/>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row>
    <row r="18" spans="1:120" s="3" customFormat="1" ht="30" customHeight="1" thickBot="1" x14ac:dyDescent="0.3">
      <c r="A18" s="32" t="s">
        <v>11</v>
      </c>
      <c r="B18" s="20" t="s">
        <v>53</v>
      </c>
      <c r="C18" s="41"/>
      <c r="D18" s="21"/>
      <c r="E18" s="58"/>
      <c r="F18" s="59"/>
      <c r="G18" s="13"/>
      <c r="H18" s="13" t="str">
        <f t="shared" si="49"/>
        <v/>
      </c>
      <c r="I18" s="28"/>
      <c r="J18" s="28"/>
      <c r="K18" s="28"/>
      <c r="L18" s="28"/>
      <c r="M18" s="28"/>
      <c r="N18" s="28"/>
      <c r="O18" s="28"/>
      <c r="P18" s="28"/>
      <c r="Q18" s="28"/>
      <c r="R18" s="28"/>
      <c r="S18" s="28"/>
      <c r="T18" s="28"/>
      <c r="U18" s="28"/>
      <c r="V18" s="28"/>
      <c r="W18" s="28"/>
      <c r="X18" s="28"/>
      <c r="Y18" s="28"/>
      <c r="Z18" s="28"/>
      <c r="AA18" s="28"/>
      <c r="AB18" s="28"/>
      <c r="AC18" s="80"/>
      <c r="AD18" s="80"/>
      <c r="AE18" s="80"/>
      <c r="AF18" s="80"/>
      <c r="AG18" s="80"/>
      <c r="AH18" s="80"/>
      <c r="AI18" s="80"/>
      <c r="AJ18" s="80"/>
      <c r="AK18" s="80"/>
      <c r="AL18" s="80"/>
      <c r="AM18" s="80"/>
      <c r="AN18" s="80"/>
      <c r="AO18" s="80"/>
      <c r="AP18" s="80"/>
      <c r="AQ18" s="80"/>
      <c r="AR18" s="80"/>
      <c r="AS18" s="28"/>
      <c r="AT18" s="28"/>
      <c r="AU18" s="28"/>
      <c r="AV18" s="28"/>
      <c r="AW18" s="28"/>
      <c r="AX18" s="28"/>
      <c r="AY18" s="67"/>
      <c r="AZ18" s="67"/>
      <c r="BA18" s="67"/>
      <c r="BB18" s="67"/>
      <c r="BC18" s="67"/>
      <c r="BD18" s="67"/>
      <c r="BE18" s="67"/>
      <c r="BF18" s="67"/>
      <c r="BG18" s="67"/>
      <c r="BH18" s="67"/>
      <c r="BI18" s="67"/>
      <c r="BJ18" s="67"/>
      <c r="BK18" s="67"/>
      <c r="BL18" s="67"/>
      <c r="BM18" s="67"/>
      <c r="BN18" s="67"/>
      <c r="BO18" s="67"/>
      <c r="BP18" s="67"/>
      <c r="BQ18" s="67"/>
      <c r="BR18" s="67"/>
      <c r="BS18" s="67"/>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row>
    <row r="19" spans="1:120" s="3" customFormat="1" ht="30" customHeight="1" thickBot="1" x14ac:dyDescent="0.3">
      <c r="A19" s="32"/>
      <c r="B19" s="47" t="s">
        <v>28</v>
      </c>
      <c r="C19" s="42"/>
      <c r="D19" s="19">
        <v>0.3</v>
      </c>
      <c r="E19" s="60">
        <f>F17+1</f>
        <v>45936</v>
      </c>
      <c r="F19" s="60">
        <f>E19+6</f>
        <v>45942</v>
      </c>
      <c r="G19" s="13"/>
      <c r="H19" s="13">
        <f t="shared" si="49"/>
        <v>7</v>
      </c>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row>
    <row r="20" spans="1:120" s="3" customFormat="1" ht="30" customHeight="1" thickBot="1" x14ac:dyDescent="0.3">
      <c r="A20" s="32"/>
      <c r="B20" s="47" t="s">
        <v>29</v>
      </c>
      <c r="C20" s="42"/>
      <c r="D20" s="19">
        <v>0.25</v>
      </c>
      <c r="E20" s="60">
        <f>F19+1</f>
        <v>45943</v>
      </c>
      <c r="F20" s="60">
        <f>E20+6</f>
        <v>45949</v>
      </c>
      <c r="G20" s="13"/>
      <c r="H20" s="13">
        <f t="shared" si="49"/>
        <v>7</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row>
    <row r="21" spans="1:120" s="3" customFormat="1" ht="30" customHeight="1" thickBot="1" x14ac:dyDescent="0.3">
      <c r="A21" s="32"/>
      <c r="B21" s="47" t="s">
        <v>30</v>
      </c>
      <c r="C21" s="42"/>
      <c r="D21" s="19">
        <v>0.15</v>
      </c>
      <c r="E21" s="60">
        <f>F20+1</f>
        <v>45950</v>
      </c>
      <c r="F21" s="60">
        <f>E21+6</f>
        <v>45956</v>
      </c>
      <c r="G21" s="13"/>
      <c r="H21" s="13">
        <f t="shared" si="49"/>
        <v>7</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row>
    <row r="22" spans="1:120" s="3" customFormat="1" ht="30" customHeight="1" thickBot="1" x14ac:dyDescent="0.3">
      <c r="A22" s="32" t="s">
        <v>11</v>
      </c>
      <c r="B22" s="22" t="s">
        <v>54</v>
      </c>
      <c r="C22" s="43"/>
      <c r="D22" s="23"/>
      <c r="E22" s="61"/>
      <c r="F22" s="62"/>
      <c r="G22" s="13"/>
      <c r="H22" s="13" t="str">
        <f t="shared" si="49"/>
        <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80"/>
      <c r="AS22" s="80"/>
      <c r="AT22" s="80"/>
      <c r="AU22" s="80"/>
      <c r="AV22" s="80"/>
      <c r="AW22" s="80"/>
      <c r="AX22" s="80"/>
      <c r="AY22" s="80"/>
      <c r="AZ22" s="80"/>
      <c r="BA22" s="80"/>
      <c r="BB22" s="80"/>
      <c r="BC22" s="80"/>
      <c r="BD22" s="80"/>
      <c r="BE22" s="80"/>
      <c r="BF22" s="28"/>
      <c r="BG22" s="28"/>
      <c r="BH22" s="28"/>
      <c r="BI22" s="28"/>
      <c r="BJ22" s="28"/>
      <c r="BK22" s="28"/>
      <c r="BL22" s="28"/>
      <c r="BM22" s="28"/>
      <c r="BN22" s="28"/>
      <c r="BO22" s="28"/>
      <c r="BP22" s="28"/>
      <c r="BQ22" s="28"/>
      <c r="BR22" s="28"/>
      <c r="BS22" s="28"/>
      <c r="BT22" s="67"/>
      <c r="BU22" s="67"/>
      <c r="BV22" s="67"/>
      <c r="BW22" s="67"/>
      <c r="BX22" s="67"/>
      <c r="BY22" s="67"/>
      <c r="BZ22" s="67"/>
      <c r="CA22" s="67"/>
      <c r="CB22" s="67"/>
      <c r="CC22" s="67"/>
      <c r="CD22" s="67"/>
      <c r="CE22" s="67"/>
      <c r="CF22" s="67"/>
      <c r="CG22" s="67"/>
      <c r="CH22" s="67"/>
      <c r="CI22" s="67"/>
      <c r="CJ22" s="67"/>
      <c r="CK22" s="67"/>
      <c r="CL22" s="67"/>
      <c r="CM22" s="67"/>
      <c r="CN22" s="67"/>
      <c r="CO22" s="80"/>
      <c r="CP22" s="80"/>
      <c r="CQ22" s="80"/>
      <c r="CR22" s="80"/>
      <c r="CS22" s="80"/>
      <c r="CT22" s="80"/>
      <c r="CU22" s="80"/>
      <c r="CV22" s="80"/>
      <c r="CW22" s="28"/>
      <c r="CX22" s="28"/>
      <c r="CY22" s="28"/>
      <c r="CZ22" s="28"/>
      <c r="DA22" s="28"/>
      <c r="DB22" s="28"/>
      <c r="DC22" s="28"/>
      <c r="DD22" s="28"/>
      <c r="DE22" s="28"/>
      <c r="DF22" s="28"/>
      <c r="DG22" s="28"/>
      <c r="DH22" s="28"/>
      <c r="DI22" s="28"/>
      <c r="DJ22" s="28"/>
      <c r="DK22" s="28"/>
      <c r="DL22" s="28"/>
      <c r="DM22" s="28"/>
      <c r="DN22" s="28"/>
      <c r="DO22" s="28"/>
      <c r="DP22" s="28"/>
    </row>
    <row r="23" spans="1:120" s="3" customFormat="1" ht="30" customHeight="1" thickBot="1" x14ac:dyDescent="0.3">
      <c r="A23" s="32"/>
      <c r="B23" s="48" t="s">
        <v>31</v>
      </c>
      <c r="C23" s="44"/>
      <c r="D23" s="19">
        <v>0</v>
      </c>
      <c r="E23" s="63">
        <f>F21+1</f>
        <v>45957</v>
      </c>
      <c r="F23" s="63">
        <f>E23+3</f>
        <v>45960</v>
      </c>
      <c r="G23" s="13"/>
      <c r="H23" s="13">
        <f t="shared" si="49"/>
        <v>4</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row>
    <row r="24" spans="1:120" s="3" customFormat="1" ht="30" customHeight="1" thickBot="1" x14ac:dyDescent="0.3">
      <c r="A24" s="32"/>
      <c r="B24" s="48" t="s">
        <v>32</v>
      </c>
      <c r="C24" s="44"/>
      <c r="D24" s="19">
        <v>0</v>
      </c>
      <c r="E24" s="63">
        <f t="shared" ref="E24:E29" si="50">F23+1</f>
        <v>45961</v>
      </c>
      <c r="F24" s="63">
        <f>E24+2</f>
        <v>45963</v>
      </c>
      <c r="G24" s="13"/>
      <c r="H24" s="13">
        <f t="shared" si="49"/>
        <v>3</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row>
    <row r="25" spans="1:120" s="3" customFormat="1" ht="30" customHeight="1" thickBot="1" x14ac:dyDescent="0.3">
      <c r="A25" s="32"/>
      <c r="B25" s="48" t="s">
        <v>33</v>
      </c>
      <c r="C25" s="44"/>
      <c r="D25" s="19">
        <v>0</v>
      </c>
      <c r="E25" s="63">
        <f t="shared" si="50"/>
        <v>45964</v>
      </c>
      <c r="F25" s="63">
        <f>E25+2</f>
        <v>45966</v>
      </c>
      <c r="G25" s="13"/>
      <c r="H25" s="13">
        <f t="shared" si="49"/>
        <v>3</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row>
    <row r="26" spans="1:120" s="3" customFormat="1" ht="30" customHeight="1" thickBot="1" x14ac:dyDescent="0.3">
      <c r="A26" s="32"/>
      <c r="B26" s="48" t="s">
        <v>34</v>
      </c>
      <c r="C26" s="44"/>
      <c r="D26" s="19">
        <v>0</v>
      </c>
      <c r="E26" s="63">
        <f t="shared" si="50"/>
        <v>45967</v>
      </c>
      <c r="F26" s="63">
        <f>E26+2</f>
        <v>45969</v>
      </c>
      <c r="G26" s="13"/>
      <c r="H26" s="13">
        <f t="shared" si="49"/>
        <v>3</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row>
    <row r="27" spans="1:120" s="3" customFormat="1" ht="30" customHeight="1" thickBot="1" x14ac:dyDescent="0.3">
      <c r="A27" s="32"/>
      <c r="B27" s="48" t="s">
        <v>35</v>
      </c>
      <c r="C27" s="44"/>
      <c r="D27" s="19">
        <v>0</v>
      </c>
      <c r="E27" s="63">
        <f t="shared" si="50"/>
        <v>45970</v>
      </c>
      <c r="F27" s="63">
        <f>E27+2</f>
        <v>45972</v>
      </c>
      <c r="G27" s="13"/>
      <c r="H27" s="13">
        <f t="shared" si="49"/>
        <v>3</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row>
    <row r="28" spans="1:120" s="3" customFormat="1" ht="30" customHeight="1" thickBot="1" x14ac:dyDescent="0.3">
      <c r="A28" s="32"/>
      <c r="B28" s="48" t="s">
        <v>36</v>
      </c>
      <c r="C28" s="44"/>
      <c r="D28" s="19">
        <v>0</v>
      </c>
      <c r="E28" s="63">
        <f t="shared" si="50"/>
        <v>45973</v>
      </c>
      <c r="F28" s="63">
        <f>E28+2</f>
        <v>45975</v>
      </c>
      <c r="G28" s="13"/>
      <c r="H28" s="13"/>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row>
    <row r="29" spans="1:120" s="3" customFormat="1" ht="30" customHeight="1" thickBot="1" x14ac:dyDescent="0.3">
      <c r="A29" s="32"/>
      <c r="B29" s="48" t="s">
        <v>37</v>
      </c>
      <c r="C29" s="44"/>
      <c r="D29" s="19">
        <v>0</v>
      </c>
      <c r="E29" s="63">
        <f t="shared" si="50"/>
        <v>45976</v>
      </c>
      <c r="F29" s="63">
        <f>E29+1</f>
        <v>45977</v>
      </c>
      <c r="G29" s="13"/>
      <c r="H29" s="13"/>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row>
    <row r="30" spans="1:120" s="3" customFormat="1" ht="30" customHeight="1" thickBot="1" x14ac:dyDescent="0.3">
      <c r="A30" s="32" t="s">
        <v>11</v>
      </c>
      <c r="B30" s="22" t="s">
        <v>55</v>
      </c>
      <c r="C30" s="43"/>
      <c r="D30" s="23"/>
      <c r="E30" s="61"/>
      <c r="F30" s="62"/>
      <c r="G30" s="13"/>
      <c r="H30" s="13" t="str">
        <f t="shared" si="49"/>
        <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80"/>
      <c r="BG30" s="80"/>
      <c r="BH30" s="80"/>
      <c r="BI30" s="80"/>
      <c r="BJ30" s="80"/>
      <c r="BK30" s="80"/>
      <c r="BL30" s="80"/>
      <c r="BM30" s="80"/>
      <c r="BN30" s="80"/>
      <c r="BO30" s="80"/>
      <c r="BP30" s="80"/>
      <c r="BQ30" s="80"/>
      <c r="BR30" s="80"/>
      <c r="BS30" s="80"/>
      <c r="BT30" s="28"/>
      <c r="BU30" s="28"/>
      <c r="BV30" s="28"/>
      <c r="BW30" s="28"/>
      <c r="BX30" s="28"/>
      <c r="BY30" s="28"/>
      <c r="BZ30" s="28"/>
      <c r="CA30" s="28"/>
      <c r="CB30" s="28"/>
      <c r="CC30" s="28"/>
      <c r="CD30" s="28"/>
      <c r="CE30" s="28"/>
      <c r="CF30" s="28"/>
      <c r="CG30" s="28"/>
      <c r="CH30" s="28"/>
      <c r="CI30" s="28"/>
      <c r="CJ30" s="28"/>
      <c r="CK30" s="28"/>
      <c r="CL30" s="28"/>
      <c r="CM30" s="28"/>
      <c r="CN30" s="28"/>
      <c r="CO30" s="67"/>
      <c r="CP30" s="67"/>
      <c r="CQ30" s="67"/>
      <c r="CR30" s="67"/>
      <c r="CS30" s="67"/>
      <c r="CT30" s="67"/>
      <c r="CU30" s="67"/>
      <c r="CV30" s="67"/>
      <c r="CW30" s="67"/>
      <c r="CX30" s="67"/>
      <c r="CY30" s="67"/>
      <c r="CZ30" s="67"/>
      <c r="DA30" s="67"/>
      <c r="DB30" s="67"/>
      <c r="DC30" s="80"/>
      <c r="DD30" s="80"/>
      <c r="DE30" s="80"/>
      <c r="DF30" s="80"/>
      <c r="DG30" s="80"/>
      <c r="DH30" s="80"/>
      <c r="DI30" s="80"/>
      <c r="DJ30" s="80"/>
      <c r="DK30" s="80"/>
      <c r="DL30" s="80"/>
      <c r="DM30" s="80"/>
      <c r="DN30" s="80"/>
      <c r="DO30" s="80"/>
      <c r="DP30" s="80"/>
    </row>
    <row r="31" spans="1:120" s="3" customFormat="1" ht="30" customHeight="1" thickBot="1" x14ac:dyDescent="0.3">
      <c r="A31" s="32"/>
      <c r="B31" s="48" t="s">
        <v>38</v>
      </c>
      <c r="C31" s="44"/>
      <c r="D31" s="19">
        <v>0</v>
      </c>
      <c r="E31" s="63">
        <f>F29+1</f>
        <v>45978</v>
      </c>
      <c r="F31" s="63">
        <f>E31+2</f>
        <v>45980</v>
      </c>
      <c r="G31" s="13"/>
      <c r="H31" s="13">
        <f t="shared" si="49"/>
        <v>3</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row>
    <row r="32" spans="1:120" s="3" customFormat="1" ht="30" customHeight="1" thickBot="1" x14ac:dyDescent="0.3">
      <c r="A32" s="32"/>
      <c r="B32" s="48" t="s">
        <v>39</v>
      </c>
      <c r="C32" s="44"/>
      <c r="D32" s="19">
        <v>0</v>
      </c>
      <c r="E32" s="63">
        <f>F31+1</f>
        <v>45981</v>
      </c>
      <c r="F32" s="63">
        <f>E32+3</f>
        <v>45984</v>
      </c>
      <c r="G32" s="13"/>
      <c r="H32" s="13">
        <f t="shared" si="49"/>
        <v>4</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row>
    <row r="33" spans="1:120" s="3" customFormat="1" ht="30" customHeight="1" thickBot="1" x14ac:dyDescent="0.3">
      <c r="A33" s="32"/>
      <c r="B33" s="48" t="s">
        <v>40</v>
      </c>
      <c r="C33" s="44"/>
      <c r="D33" s="19">
        <v>0</v>
      </c>
      <c r="E33" s="63">
        <f>F32+1</f>
        <v>45985</v>
      </c>
      <c r="F33" s="63">
        <f>E33+2</f>
        <v>45987</v>
      </c>
      <c r="G33" s="13"/>
      <c r="H33" s="13">
        <f t="shared" si="49"/>
        <v>3</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row>
    <row r="34" spans="1:120" s="3" customFormat="1" ht="30" customHeight="1" thickBot="1" x14ac:dyDescent="0.3">
      <c r="A34" s="32"/>
      <c r="B34" s="48" t="s">
        <v>41</v>
      </c>
      <c r="C34" s="44"/>
      <c r="D34" s="19">
        <v>0</v>
      </c>
      <c r="E34" s="63">
        <f>F33+1</f>
        <v>45988</v>
      </c>
      <c r="F34" s="63">
        <f>E34+3</f>
        <v>45991</v>
      </c>
      <c r="G34" s="13"/>
      <c r="H34" s="13">
        <f t="shared" si="49"/>
        <v>4</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row>
    <row r="35" spans="1:120" s="3" customFormat="1" ht="30" customHeight="1" thickBot="1" x14ac:dyDescent="0.3">
      <c r="A35" s="32" t="s">
        <v>11</v>
      </c>
      <c r="B35" s="22" t="s">
        <v>56</v>
      </c>
      <c r="C35" s="43"/>
      <c r="D35" s="23"/>
      <c r="E35" s="61"/>
      <c r="F35" s="62"/>
      <c r="G35" s="13"/>
      <c r="H35" s="13" t="str">
        <f t="shared" si="49"/>
        <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80"/>
      <c r="BT35" s="80"/>
      <c r="BU35" s="80"/>
      <c r="BV35" s="80"/>
      <c r="BW35" s="80"/>
      <c r="BX35" s="80"/>
      <c r="BY35" s="80"/>
      <c r="BZ35" s="80"/>
      <c r="CA35" s="80"/>
      <c r="CB35" s="80"/>
      <c r="CC35" s="80"/>
      <c r="CD35" s="80"/>
      <c r="CE35" s="80"/>
      <c r="CF35" s="80"/>
      <c r="CG35" s="80"/>
      <c r="CH35" s="28"/>
      <c r="CI35" s="28"/>
      <c r="CJ35" s="28"/>
      <c r="CK35" s="28"/>
      <c r="CL35" s="28"/>
      <c r="CM35" s="28"/>
      <c r="CN35" s="28"/>
      <c r="CO35" s="28"/>
      <c r="CP35" s="28"/>
      <c r="CQ35" s="28"/>
      <c r="CR35" s="28"/>
      <c r="CS35" s="28"/>
      <c r="CT35" s="28"/>
      <c r="CU35" s="28"/>
      <c r="CV35" s="28"/>
      <c r="CW35" s="28"/>
      <c r="CX35" s="28"/>
      <c r="CY35" s="28"/>
      <c r="CZ35" s="28"/>
      <c r="DA35" s="28"/>
      <c r="DB35" s="28"/>
      <c r="DC35" s="67"/>
      <c r="DD35" s="67"/>
      <c r="DE35" s="67"/>
      <c r="DF35" s="67"/>
      <c r="DG35" s="67"/>
      <c r="DH35" s="67"/>
      <c r="DI35" s="67"/>
      <c r="DJ35" s="67"/>
      <c r="DK35" s="67"/>
      <c r="DL35" s="67"/>
      <c r="DM35" s="67"/>
      <c r="DN35" s="67"/>
      <c r="DO35" s="67"/>
      <c r="DP35" s="67"/>
    </row>
    <row r="36" spans="1:120" s="3" customFormat="1" ht="30" customHeight="1" thickBot="1" x14ac:dyDescent="0.3">
      <c r="A36" s="32"/>
      <c r="B36" s="48" t="s">
        <v>42</v>
      </c>
      <c r="C36" s="44"/>
      <c r="D36" s="19">
        <v>0</v>
      </c>
      <c r="E36" s="63">
        <f>F34+1</f>
        <v>45992</v>
      </c>
      <c r="F36" s="63">
        <f>E36+4</f>
        <v>45996</v>
      </c>
      <c r="G36" s="13"/>
      <c r="H36" s="13">
        <f t="shared" si="49"/>
        <v>5</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row>
    <row r="37" spans="1:120" s="3" customFormat="1" ht="30" customHeight="1" thickBot="1" x14ac:dyDescent="0.3">
      <c r="A37" s="32"/>
      <c r="B37" s="48" t="s">
        <v>43</v>
      </c>
      <c r="C37" s="44"/>
      <c r="D37" s="19">
        <v>0</v>
      </c>
      <c r="E37" s="63">
        <f>F36+1</f>
        <v>45997</v>
      </c>
      <c r="F37" s="63">
        <f>E37+4</f>
        <v>46001</v>
      </c>
      <c r="G37" s="13"/>
      <c r="H37" s="13">
        <f t="shared" si="49"/>
        <v>5</v>
      </c>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row>
    <row r="38" spans="1:120" s="3" customFormat="1" ht="30" customHeight="1" thickBot="1" x14ac:dyDescent="0.3">
      <c r="A38" s="32"/>
      <c r="B38" s="48" t="s">
        <v>44</v>
      </c>
      <c r="C38" s="44"/>
      <c r="D38" s="19">
        <v>0</v>
      </c>
      <c r="E38" s="63">
        <f>F37+1</f>
        <v>46002</v>
      </c>
      <c r="F38" s="63">
        <f>E38+3</f>
        <v>46005</v>
      </c>
      <c r="G38" s="13"/>
      <c r="H38" s="13">
        <f t="shared" si="49"/>
        <v>4</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t="s">
        <v>45</v>
      </c>
      <c r="BZ38" s="28"/>
      <c r="CA38" s="28"/>
      <c r="CB38" s="28"/>
      <c r="CC38" s="28"/>
      <c r="CD38" s="28"/>
      <c r="CE38" s="28"/>
      <c r="CF38" s="28" t="s">
        <v>45</v>
      </c>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row>
    <row r="39" spans="1:120" s="3" customFormat="1" ht="30" customHeight="1" thickBot="1" x14ac:dyDescent="0.3">
      <c r="A39" s="33" t="s">
        <v>12</v>
      </c>
      <c r="B39" s="24"/>
      <c r="C39" s="25"/>
      <c r="D39" s="26"/>
      <c r="E39" s="64"/>
      <c r="F39" s="65"/>
      <c r="G39" s="27"/>
      <c r="H39" s="27" t="str">
        <f t="shared" si="49"/>
        <v/>
      </c>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row>
    <row r="40" spans="1:120" ht="30" customHeight="1" x14ac:dyDescent="0.25">
      <c r="G40" s="6"/>
    </row>
    <row r="41" spans="1:120" ht="30" customHeight="1" x14ac:dyDescent="0.25">
      <c r="C41" s="11"/>
      <c r="F41" s="34"/>
    </row>
    <row r="42" spans="1:120" ht="30" customHeight="1" x14ac:dyDescent="0.25">
      <c r="C42" s="12"/>
    </row>
  </sheetData>
  <mergeCells count="19">
    <mergeCell ref="DJ4:DP4"/>
    <mergeCell ref="CA4:CG4"/>
    <mergeCell ref="CH4:CN4"/>
    <mergeCell ref="CO4:CU4"/>
    <mergeCell ref="CV4:DB4"/>
    <mergeCell ref="DC4:DI4"/>
    <mergeCell ref="C3:D3"/>
    <mergeCell ref="C4:D4"/>
    <mergeCell ref="AK4:AQ4"/>
    <mergeCell ref="AR4:AX4"/>
    <mergeCell ref="AY4:BE4"/>
    <mergeCell ref="BM4:BS4"/>
    <mergeCell ref="BT4:BZ4"/>
    <mergeCell ref="BF4:BL4"/>
    <mergeCell ref="E3:F3"/>
    <mergeCell ref="I4:O4"/>
    <mergeCell ref="P4:V4"/>
    <mergeCell ref="W4:AC4"/>
    <mergeCell ref="AD4:AJ4"/>
  </mergeCells>
  <conditionalFormatting sqref="D7:D39">
    <cfRule type="dataBar" priority="4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30:BR30 I5:BK29 I31:BK39 BM31:BR39 BT37:BY39 CA36:CF39 CH31:DA39 DC31:DH39 BL20 DB34 DD36:DP39">
    <cfRule type="expression" dxfId="2" priority="62">
      <formula>AND(TODAY()&gt;=I$5,TODAY()&lt;J$5)</formula>
    </cfRule>
  </conditionalFormatting>
  <conditionalFormatting sqref="I30:BR30 I7:BK29 I31:BK39 BM31:BR39 BT37:BY39 CA36:CF39 CH31:DA39 DC31:DH39 BL20 DB34 DD36:DP39">
    <cfRule type="expression" dxfId="1" priority="57" stopIfTrue="1">
      <formula>AND(task_end&gt;=I$5,task_start&lt;J$5)</formula>
    </cfRule>
  </conditionalFormatting>
  <conditionalFormatting sqref="I7:DP39">
    <cfRule type="expression" dxfId="0" priority="21">
      <formula>AND(task_start&lt;=I$5,ROUNDDOWN((task_end-task_start+1)*task_progress,0)+task_start-1&gt;=I$5)</formula>
    </cfRule>
  </conditionalFormatting>
  <conditionalFormatting sqref="BM5:BR29 BL33:BL34 BS21">
    <cfRule type="expression" dxfId="14" priority="29">
      <formula>AND(TODAY()&gt;=BL$5,TODAY()&lt;BM$5)</formula>
    </cfRule>
  </conditionalFormatting>
  <conditionalFormatting sqref="BM7:BR29 BL33:BL34 BS21">
    <cfRule type="expression" dxfId="13" priority="28" stopIfTrue="1">
      <formula>AND(task_end&gt;=BL$5,task_start&lt;BM$5)</formula>
    </cfRule>
  </conditionalFormatting>
  <conditionalFormatting sqref="BS35:BY35">
    <cfRule type="expression" dxfId="30" priority="22" stopIfTrue="1">
      <formula>AND(task_end&gt;=BS$5,task_start&lt;BT$5)</formula>
    </cfRule>
    <cfRule type="expression" dxfId="29" priority="23">
      <formula>AND(TODAY()&gt;=BS$5,TODAY()&lt;BT$5)</formula>
    </cfRule>
  </conditionalFormatting>
  <conditionalFormatting sqref="BT5:BY34 BS36:BY36 BZ24:CA24">
    <cfRule type="expression" dxfId="12" priority="26">
      <formula>AND(TODAY()&gt;=BS$5,TODAY()&lt;BT$5)</formula>
    </cfRule>
  </conditionalFormatting>
  <conditionalFormatting sqref="BT7:BY34 BS36:BY36 BZ24:CA24">
    <cfRule type="expression" dxfId="11" priority="25" stopIfTrue="1">
      <formula>AND(task_end&gt;=BS$5,task_start&lt;BT$5)</formula>
    </cfRule>
  </conditionalFormatting>
  <conditionalFormatting sqref="CA35:CF35">
    <cfRule type="expression" dxfId="28" priority="17" stopIfTrue="1">
      <formula>AND(task_end&gt;=CA$5,task_start&lt;CB$5)</formula>
    </cfRule>
    <cfRule type="expression" dxfId="27" priority="18">
      <formula>AND(TODAY()&gt;=CA$5,TODAY()&lt;CB$5)</formula>
    </cfRule>
  </conditionalFormatting>
  <conditionalFormatting sqref="CA5:CF34 CG26">
    <cfRule type="expression" dxfId="8" priority="20">
      <formula>AND(TODAY()&gt;=CA$5,TODAY()&lt;CB$5)</formula>
    </cfRule>
  </conditionalFormatting>
  <conditionalFormatting sqref="CA7:CF34 CG26">
    <cfRule type="expression" dxfId="7" priority="19" stopIfTrue="1">
      <formula>AND(task_end&gt;=CA$5,task_start&lt;CB$5)</formula>
    </cfRule>
  </conditionalFormatting>
  <conditionalFormatting sqref="CH5:DA29 CH30:DH30">
    <cfRule type="expression" dxfId="26" priority="16">
      <formula>AND(TODAY()&gt;=CH$5,TODAY()&lt;CI$5)</formula>
    </cfRule>
  </conditionalFormatting>
  <conditionalFormatting sqref="CH7:DA29 CH30:DH30">
    <cfRule type="expression" dxfId="25" priority="15" stopIfTrue="1">
      <formula>AND(task_end&gt;=CH$5,task_start&lt;CI$5)</formula>
    </cfRule>
  </conditionalFormatting>
  <conditionalFormatting sqref="DC5:DH29 DB33:DB34">
    <cfRule type="expression" dxfId="24" priority="14">
      <formula>AND(TODAY()&gt;=DB$5,TODAY()&lt;DC$5)</formula>
    </cfRule>
  </conditionalFormatting>
  <conditionalFormatting sqref="DC7:DH29 DB33:DB34">
    <cfRule type="expression" dxfId="23" priority="13" stopIfTrue="1">
      <formula>AND(task_end&gt;=DB$5,task_start&lt;DC$5)</formula>
    </cfRule>
  </conditionalFormatting>
  <conditionalFormatting sqref="DI35:DO35">
    <cfRule type="expression" dxfId="22" priority="9" stopIfTrue="1">
      <formula>AND(task_end&gt;=DI$5,task_start&lt;DJ$5)</formula>
    </cfRule>
    <cfRule type="expression" dxfId="21" priority="10">
      <formula>AND(TODAY()&gt;=DI$5,TODAY()&lt;DJ$5)</formula>
    </cfRule>
  </conditionalFormatting>
  <conditionalFormatting sqref="DJ5:DO34 DI36:DO36">
    <cfRule type="expression" dxfId="20" priority="12">
      <formula>AND(TODAY()&gt;=DI$5,TODAY()&lt;DJ$5)</formula>
    </cfRule>
  </conditionalFormatting>
  <conditionalFormatting sqref="DJ7:DO34 DI36:DO36">
    <cfRule type="expression" dxfId="19" priority="11" stopIfTrue="1">
      <formula>AND(task_end&gt;=DI$5,task_start&lt;DJ$5)</formula>
    </cfRule>
  </conditionalFormatting>
  <conditionalFormatting sqref="BL5:BL29 BS5:BS34 BZ5:BZ34 BL31:BL32 BZ36:BZ37 CG5:CG34 CG36:CG37 DB5:DB29 DB31:DB32 BZ39 CG39 DP39 BL35:BL39 BS37:BS39 DB35:DB39 DI37:DI39 DI5:DI35 DP5:DP37">
    <cfRule type="expression" dxfId="10" priority="90">
      <formula>AND(TODAY()&gt;=BL$5,TODAY()&lt;DQ$5)</formula>
    </cfRule>
  </conditionalFormatting>
  <conditionalFormatting sqref="BL7:BL29 BS7:BS34 BZ7:BZ34 BL31:BL32 BZ36:BZ37 CG7:CG34 CG36:CG37 DB7:DB29 DB31:DB32 BZ39 CG39 DP39 BL35:BL39 BS37:BS39 DB35:DB39 DI37:DI39 DI7:DI35 DP7:DP37">
    <cfRule type="expression" dxfId="9" priority="109" stopIfTrue="1">
      <formula>AND(task_end&gt;=BL$5,task_start&lt;DQ$5)</formula>
    </cfRule>
  </conditionalFormatting>
  <conditionalFormatting sqref="BZ35 CG35 DP35">
    <cfRule type="expression" dxfId="18" priority="128" stopIfTrue="1">
      <formula>AND(task_end&gt;=BZ$5,task_start&lt;DQ$5)</formula>
    </cfRule>
    <cfRule type="expression" dxfId="17" priority="129">
      <formula>AND(TODAY()&gt;=BZ$5,TODAY()&lt;DQ$5)</formula>
    </cfRule>
  </conditionalFormatting>
  <conditionalFormatting sqref="BZ38 CG38 DP38">
    <cfRule type="expression" dxfId="16" priority="134">
      <formula>AND(TODAY()&gt;=BZ$5,TODAY()&lt;DQ$5)</formula>
    </cfRule>
  </conditionalFormatting>
  <conditionalFormatting sqref="BZ38 CG38 DP38">
    <cfRule type="expression" dxfId="15" priority="137" stopIfTrue="1">
      <formula>AND(task_end&gt;=BZ$5,task_start&lt;DQ$5)</formula>
    </cfRule>
  </conditionalFormatting>
  <conditionalFormatting sqref="DC35:DH35">
    <cfRule type="expression" dxfId="6" priority="4">
      <formula>AND(TODAY()&gt;=DC$5,TODAY()&lt;DD$5)</formula>
    </cfRule>
  </conditionalFormatting>
  <conditionalFormatting sqref="DC35:DH35">
    <cfRule type="expression" dxfId="5" priority="3" stopIfTrue="1">
      <formula>AND(task_end&gt;=DC$5,task_start&lt;DD$5)</formula>
    </cfRule>
  </conditionalFormatting>
  <conditionalFormatting sqref="DJ35:DO35">
    <cfRule type="expression" dxfId="4" priority="2">
      <formula>AND(TODAY()&gt;=DJ$5,TODAY()&lt;DK$5)</formula>
    </cfRule>
  </conditionalFormatting>
  <conditionalFormatting sqref="DJ35:DO35">
    <cfRule type="expression" dxfId="3" priority="1" stopIfTrue="1">
      <formula>AND(task_end&gt;=DJ$5,task_start&lt;DK$5)</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2025-10-04T01:14:28Z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