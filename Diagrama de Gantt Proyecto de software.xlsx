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821C85D0-D180-4D03-A6AD-E077BE0976CE}" xr6:coauthVersionLast="47" xr6:coauthVersionMax="47" xr10:uidLastSave="{00000000-0000-0000-0000-000000000000}"/>
  <bookViews>
    <workbookView xWindow="-135" yWindow="-135" windowWidth="29070" windowHeight="15870" xr2:uid="{00000000-000D-0000-FFFF-FFFF00000000}"/>
  </bookViews>
  <sheets>
    <sheet name="ProjectSchedule" sheetId="11" r:id="rId1"/>
    <sheet name="Acerca de" sheetId="12" r:id="rId2"/>
  </sheets>
  <definedNames>
    <definedName name="hoy" localSheetId="0">TODAY()</definedName>
    <definedName name="Inicio_del_proyecto">ProjectSchedule!$E$3</definedName>
    <definedName name="Semana_para_mostrar">ProjectSchedule!$E$4</definedName>
    <definedName name="task_end" localSheetId="0">ProjectSchedule!$F1</definedName>
    <definedName name="task_progress" localSheetId="0">ProjectSchedule!$D1</definedName>
    <definedName name="task_start" localSheetId="0">ProjectSchedule!$E1</definedName>
    <definedName name="_xlnm.Print_Titles" localSheetId="0">ProjectSchedule!$4:$6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5" i="11" l="1"/>
  <c r="H30" i="11"/>
  <c r="H7" i="11"/>
  <c r="E3" i="11" l="1"/>
  <c r="E9" i="11" s="1"/>
  <c r="F9" i="11" l="1"/>
  <c r="E10" i="11" s="1"/>
  <c r="I5" i="11"/>
  <c r="H40" i="11"/>
  <c r="H39" i="11"/>
  <c r="H22" i="11"/>
  <c r="H18" i="11"/>
  <c r="H13" i="11"/>
  <c r="H8" i="11"/>
  <c r="F10" i="11" l="1"/>
  <c r="E11" i="11" s="1"/>
  <c r="I6" i="11"/>
  <c r="H9" i="11" l="1"/>
  <c r="F11" i="11"/>
  <c r="E12" i="11" s="1"/>
  <c r="F12" i="11" s="1"/>
  <c r="J5" i="11"/>
  <c r="K5" i="11" s="1"/>
  <c r="L5" i="11" s="1"/>
  <c r="M5" i="11" s="1"/>
  <c r="N5" i="11" s="1"/>
  <c r="O5" i="11" s="1"/>
  <c r="P5" i="11" s="1"/>
  <c r="I4" i="11"/>
  <c r="H11" i="11" l="1"/>
  <c r="E14" i="11"/>
  <c r="F14" i="11" s="1"/>
  <c r="E15" i="11" s="1"/>
  <c r="F15" i="11" s="1"/>
  <c r="E16" i="11" s="1"/>
  <c r="F16" i="11" s="1"/>
  <c r="E17" i="11" s="1"/>
  <c r="F17" i="11" s="1"/>
  <c r="E19" i="11" s="1"/>
  <c r="F19" i="11" s="1"/>
  <c r="P4" i="11"/>
  <c r="Q5" i="11"/>
  <c r="R5" i="11" s="1"/>
  <c r="S5" i="11" s="1"/>
  <c r="T5" i="11" s="1"/>
  <c r="U5" i="11" s="1"/>
  <c r="V5" i="11" s="1"/>
  <c r="W5" i="11" s="1"/>
  <c r="J6" i="11"/>
  <c r="H12" i="11" l="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H14" i="11" l="1"/>
  <c r="AR5" i="11"/>
  <c r="AS5" i="11" s="1"/>
  <c r="AK4" i="11"/>
  <c r="N6" i="11"/>
  <c r="H15" i="11" l="1"/>
  <c r="H10" i="11"/>
  <c r="AT5" i="11"/>
  <c r="AS6" i="11"/>
  <c r="AR4" i="11"/>
  <c r="O6" i="11"/>
  <c r="AT6" i="11" l="1"/>
  <c r="H16" i="11" l="1"/>
  <c r="E20" i="11"/>
  <c r="P6" i="11"/>
  <c r="H17" i="11" l="1"/>
  <c r="H19" i="11"/>
  <c r="R6" i="11"/>
  <c r="F20" i="11" l="1"/>
  <c r="E21" i="11" s="1"/>
  <c r="F21" i="11" s="1"/>
  <c r="E23" i="11" s="1"/>
  <c r="F23" i="11" s="1"/>
  <c r="E24" i="11" s="1"/>
  <c r="S6" i="11"/>
  <c r="AR6" i="11"/>
  <c r="AU5" i="11" s="1"/>
  <c r="AV5" i="11" s="1"/>
  <c r="AQ6" i="11"/>
  <c r="AP6" i="11"/>
  <c r="AO6" i="11"/>
  <c r="AN6" i="11"/>
  <c r="AM6" i="11"/>
  <c r="AL6" i="11"/>
  <c r="AK6" i="11"/>
  <c r="AJ6" i="11"/>
  <c r="AI6" i="11"/>
  <c r="AH6" i="11"/>
  <c r="AG6" i="11"/>
  <c r="AF6" i="11"/>
  <c r="AE6" i="11"/>
  <c r="AD6" i="11"/>
  <c r="AC6" i="11"/>
  <c r="AB6" i="11"/>
  <c r="AA6" i="11"/>
  <c r="Z6" i="11"/>
  <c r="Y6" i="11"/>
  <c r="X6" i="11"/>
  <c r="W6" i="11"/>
  <c r="V6" i="11"/>
  <c r="U6" i="11"/>
  <c r="T6" i="11"/>
  <c r="Q6" i="11"/>
  <c r="F24" i="11" l="1"/>
  <c r="H23" i="11"/>
  <c r="H20" i="11"/>
  <c r="H21" i="11"/>
  <c r="AW5" i="11"/>
  <c r="AX5" i="11" s="1"/>
  <c r="AV6" i="11"/>
  <c r="AU6" i="11"/>
  <c r="H24" i="11" l="1"/>
  <c r="E25" i="11"/>
  <c r="F25" i="11" s="1"/>
  <c r="AW6" i="11"/>
  <c r="AY5" i="11"/>
  <c r="E26" i="11" l="1"/>
  <c r="AZ5" i="11"/>
  <c r="AY6" i="11"/>
  <c r="AY4" i="11"/>
  <c r="AX6" i="11" s="1"/>
  <c r="F26" i="11" l="1"/>
  <c r="E27" i="11" s="1"/>
  <c r="F27" i="11" s="1"/>
  <c r="H25" i="11"/>
  <c r="BA5" i="11"/>
  <c r="AZ6" i="11"/>
  <c r="E28" i="11" l="1"/>
  <c r="F28" i="11" s="1"/>
  <c r="E29" i="11" s="1"/>
  <c r="F29" i="11" s="1"/>
  <c r="E31" i="11" s="1"/>
  <c r="F31" i="11" s="1"/>
  <c r="H27" i="11"/>
  <c r="H26" i="11"/>
  <c r="BB5" i="11"/>
  <c r="BA6" i="11"/>
  <c r="E32" i="11" l="1"/>
  <c r="F32" i="11" s="1"/>
  <c r="BB6" i="11"/>
  <c r="BC5" i="11"/>
  <c r="E33" i="11" l="1"/>
  <c r="H31" i="11"/>
  <c r="BD5" i="11"/>
  <c r="BC6" i="11"/>
  <c r="F33" i="11" l="1"/>
  <c r="E34" i="11" s="1"/>
  <c r="F34" i="11" s="1"/>
  <c r="E36" i="11" s="1"/>
  <c r="H32" i="11"/>
  <c r="BE5" i="11"/>
  <c r="BD6" i="11"/>
  <c r="F36" i="11" l="1"/>
  <c r="E37" i="11" s="1"/>
  <c r="F37" i="11" s="1"/>
  <c r="H34" i="11"/>
  <c r="H33" i="11"/>
  <c r="BF5" i="11"/>
  <c r="E38" i="11" l="1"/>
  <c r="F38" i="11" s="1"/>
  <c r="H36" i="11"/>
  <c r="BF4" i="11"/>
  <c r="BE6" i="11" s="1"/>
  <c r="BF6" i="11"/>
  <c r="BG5" i="11"/>
  <c r="H38" i="11" l="1"/>
  <c r="H37" i="11"/>
  <c r="BG6" i="11"/>
  <c r="BH5" i="11"/>
  <c r="BI5" i="11" l="1"/>
  <c r="BH6" i="11"/>
  <c r="BJ5" i="11" l="1"/>
  <c r="BI6" i="11"/>
  <c r="BK5" i="11" l="1"/>
  <c r="BJ6" i="11"/>
  <c r="BL5" i="11" l="1"/>
  <c r="BK6" i="11"/>
  <c r="BL6" i="11" l="1"/>
  <c r="BM5" i="11"/>
  <c r="BN5" i="11" l="1"/>
  <c r="BM6" i="11"/>
  <c r="BM4" i="11"/>
  <c r="BO5" i="11" l="1"/>
  <c r="BN6" i="11"/>
  <c r="BO6" i="11" l="1"/>
  <c r="BP5" i="11"/>
  <c r="BP6" i="11" l="1"/>
  <c r="BQ5" i="11"/>
  <c r="BR5" i="11" l="1"/>
  <c r="BQ6" i="11"/>
  <c r="BR6" i="11" l="1"/>
  <c r="BS5" i="11"/>
  <c r="BS6" i="11" l="1"/>
  <c r="BT5" i="11"/>
  <c r="BU5" i="11" l="1"/>
  <c r="BT6" i="11"/>
  <c r="BT4" i="11"/>
  <c r="BU6" i="11" l="1"/>
  <c r="BV5" i="11"/>
  <c r="BV6" i="11" l="1"/>
  <c r="BW5" i="11"/>
  <c r="BX5" i="11" l="1"/>
  <c r="BW6" i="11"/>
  <c r="BY5" i="11" l="1"/>
  <c r="BX6" i="11"/>
  <c r="BZ5" i="11" l="1"/>
  <c r="BZ6" i="11" s="1"/>
  <c r="BY6" i="11"/>
</calcChain>
</file>

<file path=xl/sharedStrings.xml><?xml version="1.0" encoding="utf-8"?>
<sst xmlns="http://schemas.openxmlformats.org/spreadsheetml/2006/main" count="77" uniqueCount="74">
  <si>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</si>
  <si>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</si>
  <si>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</si>
  <si>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</si>
  <si>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</si>
  <si>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</si>
  <si>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</si>
  <si>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</si>
  <si>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</si>
  <si>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</si>
  <si>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</si>
  <si>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</si>
  <si>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</si>
  <si>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</si>
  <si>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</si>
  <si>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Inicio del proyecto:</t>
  </si>
  <si>
    <t>Semana para mostrar:</t>
  </si>
  <si>
    <t>ASIGNADO
A</t>
  </si>
  <si>
    <t>Nombre</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</si>
  <si>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</si>
  <si>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</si>
  <si>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</si>
  <si>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</si>
  <si>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</si>
  <si>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</si>
  <si>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</si>
  <si>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</si>
  <si>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</si>
  <si>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</si>
  <si>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</si>
  <si>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</si>
  <si>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</si>
  <si>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</si>
  <si>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</si>
  <si>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</si>
  <si>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</si>
  <si>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</si>
  <si>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</si>
  <si>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Fase de Análisis (Semana 1 - Semana 2)</t>
  </si>
  <si>
    <t>Fase de Planeación (Semana 3)</t>
  </si>
  <si>
    <t>Fase de Desarrollo (Semana 6 - Semana 8)</t>
  </si>
  <si>
    <t>Fase de Pruebas (Semana 9 - Semana 10)</t>
  </si>
  <si>
    <t>Fase de Diseño (Semana 4 - Semana 5)</t>
  </si>
  <si>
    <t>Fase de Entrega (Semana 11)</t>
  </si>
  <si>
    <t>Identificación de necesidades y levantamiento de información (observación, encuestas).</t>
  </si>
  <si>
    <t>Identificación de stakeholders.</t>
  </si>
  <si>
    <t>Documentación del análisis.</t>
  </si>
  <si>
    <t>Definición de requerimientos funcionales y no funcionales</t>
  </si>
  <si>
    <t>Definición del alcance.</t>
  </si>
  <si>
    <t>Elaboración de la matriz de riesgos.</t>
  </si>
  <si>
    <t>Estimación de esfuerzo (WBS).</t>
  </si>
  <si>
    <t>Definición del cronograma y presupuesto.</t>
  </si>
  <si>
    <t>Diagramas de casos de uso, clases y componentes.</t>
  </si>
  <si>
    <t>Diseño del diagrama de flujo del software.</t>
  </si>
  <si>
    <t>Prototipado (baja y alta fidelidad).</t>
  </si>
  <si>
    <t>Configuración del entorno de desarrollo.</t>
  </si>
  <si>
    <t>Implementación de módulos principales:</t>
  </si>
  <si>
    <t>Registro de supervisor y login.</t>
  </si>
  <si>
    <t>Registro de módulos de producción.</t>
  </si>
  <si>
    <t>Registro de producción por horas y defectuosos.</t>
  </si>
  <si>
    <t>Reportes individuales y generales.</t>
  </si>
  <si>
    <t>Integración de la base de datos.</t>
  </si>
  <si>
    <t>Pruebas unitarias (funcionalidad de cada módulo).</t>
  </si>
  <si>
    <t>Pruebas de integración (flujo completo del sistema).</t>
  </si>
  <si>
    <t>Pruebas de caja negra (validación con usuarios).</t>
  </si>
  <si>
    <t>Ajustes y corrección de errores.</t>
  </si>
  <si>
    <t>Documentación técnica y manual de usuario.</t>
  </si>
  <si>
    <t>Presentación del sistema a la empresa.</t>
  </si>
  <si>
    <t>Entrega del producto mínimo viable (MVP).</t>
  </si>
  <si>
    <t xml:space="preserve"> </t>
  </si>
  <si>
    <t>PROYECTO DE SOFTWARE</t>
  </si>
  <si>
    <t>Saulo Andres Franco Torres</t>
  </si>
  <si>
    <t>Sleider Jair Sevillano Ramos</t>
  </si>
  <si>
    <t>Estefanía Toro Bañol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</si>
</sst>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
    <numFmt numFmtId="170" formatCode="ddd\,\ yyyy\-mm\-dd;@"/>
    <numFmt numFmtId="171" formatCode="d\ &quot;de&quot;\ mmmm\ &quot;de&quot;\ yyyy"/>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6"/>
        <bgColor indexed="64"/>
      </patternFill>
    </fill>
  </fills>
  <borders count="20">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theme="0" tint="-0.34998626667073579"/>
      </right>
      <top style="thin">
        <color indexed="64"/>
      </top>
      <bottom style="thin">
        <color indexed="64"/>
      </bottom>
      <diagonal/>
    </border>
    <border>
      <left style="thin">
        <color theme="0" tint="-0.34998626667073579"/>
      </left>
      <right/>
      <top style="thin">
        <color indexed="64"/>
      </top>
      <bottom style="thin">
        <color indexed="64"/>
      </bottom>
      <diagonal/>
    </border>
    <border>
      <left/>
      <right style="thin">
        <color indexed="64"/>
      </right>
      <top style="thin">
        <color indexed="64"/>
      </top>
      <bottom style="thin">
        <color indexed="6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7"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8" applyNumberFormat="0" applyAlignment="0" applyProtection="0"/>
    <xf numFmtId="0" fontId="31" fillId="18" borderId="9" applyNumberFormat="0" applyAlignment="0" applyProtection="0"/>
    <xf numFmtId="0" fontId="32" fillId="18" borderId="8" applyNumberFormat="0" applyAlignment="0" applyProtection="0"/>
    <xf numFmtId="0" fontId="33" fillId="0" borderId="10" applyNumberFormat="0" applyFill="0" applyAlignment="0" applyProtection="0"/>
    <xf numFmtId="0" fontId="34" fillId="19" borderId="11" applyNumberFormat="0" applyAlignment="0" applyProtection="0"/>
    <xf numFmtId="0" fontId="35" fillId="0" borderId="0" applyNumberFormat="0" applyFill="0" applyBorder="0" applyAlignment="0" applyProtection="0"/>
    <xf numFmtId="0" fontId="9" fillId="20" borderId="12" applyNumberFormat="0" applyFont="0" applyAlignment="0" applyProtection="0"/>
    <xf numFmtId="0" fontId="36" fillId="0" borderId="0" applyNumberFormat="0" applyFill="0" applyBorder="0" applyAlignment="0" applyProtection="0"/>
    <xf numFmtId="0" fontId="6" fillId="0" borderId="13"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5"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6" xfId="0" applyBorder="1" applyAlignment="1">
      <alignment vertical="center"/>
    </xf>
    <xf numFmtId="0" fontId="0" fillId="0" borderId="6" xfId="0" applyBorder="1" applyAlignment="1">
      <alignment horizontal="right" vertical="center"/>
    </xf>
    <xf numFmtId="0" fontId="0" fillId="2" borderId="6"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7"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8" fontId="0" fillId="8" borderId="2" xfId="0" applyNumberFormat="1" applyFill="1" applyBorder="1" applyAlignment="1">
      <alignment horizontal="center" vertical="center"/>
    </xf>
    <xf numFmtId="168" fontId="5" fillId="8" borderId="2" xfId="0" applyNumberFormat="1" applyFont="1" applyFill="1" applyBorder="1" applyAlignment="1">
      <alignment horizontal="center" vertical="center"/>
    </xf>
    <xf numFmtId="168" fontId="9" fillId="3" borderId="2" xfId="10" applyFill="1">
      <alignment horizontal="center" vertical="center"/>
    </xf>
    <xf numFmtId="168" fontId="0" fillId="9" borderId="2" xfId="0" applyNumberFormat="1" applyFill="1" applyBorder="1" applyAlignment="1">
      <alignment horizontal="center" vertical="center"/>
    </xf>
    <xf numFmtId="168" fontId="5" fillId="9" borderId="2" xfId="0" applyNumberFormat="1" applyFont="1" applyFill="1" applyBorder="1" applyAlignment="1">
      <alignment horizontal="center" vertical="center"/>
    </xf>
    <xf numFmtId="168" fontId="9" fillId="4" borderId="2" xfId="10" applyFill="1">
      <alignment horizontal="center" vertical="center"/>
    </xf>
    <xf numFmtId="168" fontId="0" fillId="6" borderId="2" xfId="0" applyNumberFormat="1" applyFill="1" applyBorder="1" applyAlignment="1">
      <alignment horizontal="center" vertical="center"/>
    </xf>
    <xf numFmtId="168" fontId="5" fillId="6" borderId="2" xfId="0" applyNumberFormat="1" applyFont="1" applyFill="1" applyBorder="1" applyAlignment="1">
      <alignment horizontal="center" vertical="center"/>
    </xf>
    <xf numFmtId="168" fontId="9" fillId="11" borderId="2" xfId="10" applyFill="1">
      <alignment horizontal="center" vertical="center"/>
    </xf>
    <xf numFmtId="168" fontId="0" fillId="5" borderId="2" xfId="0" applyNumberFormat="1" applyFill="1" applyBorder="1" applyAlignment="1">
      <alignment horizontal="center" vertical="center"/>
    </xf>
    <xf numFmtId="168" fontId="5" fillId="5" borderId="2" xfId="0" applyNumberFormat="1" applyFont="1" applyFill="1" applyBorder="1" applyAlignment="1">
      <alignment horizontal="center" vertical="center"/>
    </xf>
    <xf numFmtId="168" fontId="9" fillId="10" borderId="2" xfId="10" applyFill="1">
      <alignment horizontal="center" vertical="center"/>
    </xf>
    <xf numFmtId="168" fontId="9" fillId="0" borderId="2" xfId="10">
      <alignment horizontal="center" vertical="center"/>
    </xf>
    <xf numFmtId="168" fontId="4" fillId="2" borderId="2" xfId="0" applyNumberFormat="1" applyFont="1" applyFill="1" applyBorder="1" applyAlignment="1">
      <alignment horizontal="left" vertical="center"/>
    </xf>
    <xf numFmtId="168" fontId="5" fillId="2" borderId="2" xfId="0" applyNumberFormat="1" applyFont="1" applyFill="1" applyBorder="1" applyAlignment="1">
      <alignment horizontal="center" vertical="center"/>
    </xf>
    <xf numFmtId="0" fontId="9" fillId="0" borderId="0" xfId="8">
      <alignment horizontal="right" indent="1"/>
    </xf>
    <xf numFmtId="0" fontId="9" fillId="0" borderId="4" xfId="8" applyBorder="1">
      <alignment horizontal="right" indent="1"/>
    </xf>
    <xf numFmtId="170" fontId="9" fillId="0" borderId="3" xfId="9">
      <alignment horizontal="center" vertical="center"/>
    </xf>
    <xf numFmtId="171" fontId="0" fillId="7" borderId="15" xfId="0" applyNumberFormat="1" applyFill="1" applyBorder="1" applyAlignment="1">
      <alignment horizontal="center" vertical="center"/>
    </xf>
    <xf numFmtId="171" fontId="0" fillId="7" borderId="16" xfId="0" applyNumberFormat="1" applyFill="1" applyBorder="1" applyAlignment="1">
      <alignment horizontal="center" vertical="center"/>
    </xf>
    <xf numFmtId="171" fontId="0" fillId="7" borderId="17" xfId="0" applyNumberFormat="1" applyFill="1" applyBorder="1" applyAlignment="1">
      <alignment horizontal="center" vertical="center"/>
    </xf>
    <xf numFmtId="171" fontId="0" fillId="7" borderId="18" xfId="0" applyNumberFormat="1" applyFill="1" applyBorder="1" applyAlignment="1">
      <alignment horizontal="center" vertical="center" wrapText="1"/>
    </xf>
    <xf numFmtId="171" fontId="0" fillId="7" borderId="16" xfId="0" applyNumberFormat="1" applyFill="1" applyBorder="1" applyAlignment="1">
      <alignment horizontal="center" vertical="center" wrapText="1"/>
    </xf>
    <xf numFmtId="171" fontId="0" fillId="7" borderId="17" xfId="0" applyNumberFormat="1" applyFill="1" applyBorder="1" applyAlignment="1">
      <alignment horizontal="center" vertical="center" wrapText="1"/>
    </xf>
    <xf numFmtId="171" fontId="0" fillId="7" borderId="19" xfId="0" applyNumberFormat="1" applyFill="1" applyBorder="1" applyAlignment="1">
      <alignment horizontal="center" vertical="center" wrapText="1"/>
    </xf>
    <xf numFmtId="169" fontId="11" fillId="7" borderId="14" xfId="0" applyNumberFormat="1" applyFont="1" applyFill="1" applyBorder="1" applyAlignment="1">
      <alignment horizontal="center" vertical="center"/>
    </xf>
    <xf numFmtId="0" fontId="0" fillId="45" borderId="6" xfId="0" applyFill="1" applyBorder="1" applyAlignment="1">
      <alignment vertical="center"/>
    </xf>
    <xf numFmtId="0" fontId="10" fillId="0" borderId="0" xfId="6" applyAlignment="1">
      <alignment vertical="center"/>
    </xf>
    <xf numFmtId="0" fontId="10" fillId="0" borderId="0" xfId="7" applyAlignment="1">
      <alignment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3"/>
      <tableStyleElement type="headerRow" dxfId="22"/>
      <tableStyleElement type="totalRow" dxfId="21"/>
      <tableStyleElement type="firstColumn" dxfId="20"/>
      <tableStyleElement type="lastColumn" dxfId="19"/>
      <tableStyleElement type="firstRowStripe" dxfId="18"/>
      <tableStyleElement type="secondRowStripe" dxfId="17"/>
      <tableStyleElement type="firstColumnStripe" dxfId="16"/>
      <tableStyleElement type="secondColumnStripe" dxfId="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Z43"/>
  <sheetViews>
    <sheetView showGridLines="0" tabSelected="1" showRuler="0" zoomScale="85" zoomScaleNormal="85" zoomScalePageLayoutView="70" workbookViewId="0">
      <pane ySplit="6" topLeftCell="A8" activePane="bottomLeft" state="frozen"/>
      <selection pane="bottomLeft" activeCell="B5" sqref="B5"/>
    </sheetView>
  </sheetViews>
  <sheetFormatPr baseColWidth="10" defaultColWidth="9.109375" defaultRowHeight="30" customHeight="1" x14ac:dyDescent="0.3"/>
  <cols>
    <col min="1" max="1" width="2.6640625" style="43" customWidth="1"/>
    <col min="2" max="2" width="60" customWidth="1"/>
    <col min="3" max="3" width="30.6640625" customWidth="1"/>
    <col min="4" max="4" width="12.77734375" customWidth="1"/>
    <col min="5" max="5" width="10.44140625" style="5" customWidth="1"/>
    <col min="6" max="6" width="10.44140625" customWidth="1"/>
    <col min="7" max="7" width="3.109375" customWidth="1"/>
    <col min="8" max="8" width="6.109375" hidden="1" customWidth="1"/>
    <col min="9" max="15" width="3.88671875" customWidth="1"/>
    <col min="16" max="43" width="3.109375" customWidth="1"/>
    <col min="44" max="50" width="3.6640625" customWidth="1"/>
    <col min="51" max="78" width="4" customWidth="1"/>
    <col min="83" max="84" width="10.33203125"/>
  </cols>
  <sheetData>
    <row r="1" spans="1:78" ht="30" customHeight="1" x14ac:dyDescent="0.55000000000000004">
      <c r="A1" s="44" t="s">
        <v>0</v>
      </c>
      <c r="B1" s="47" t="s">
        <v>70</v>
      </c>
      <c r="C1" s="1"/>
      <c r="D1" s="2"/>
      <c r="E1" s="4"/>
      <c r="F1" s="32"/>
      <c r="H1" s="2"/>
      <c r="I1" s="63"/>
    </row>
    <row r="2" spans="1:78" ht="30" customHeight="1" x14ac:dyDescent="0.3">
      <c r="A2" s="43" t="s">
        <v>1</v>
      </c>
      <c r="B2" s="93" t="s">
        <v>71</v>
      </c>
      <c r="I2" s="64"/>
    </row>
    <row r="3" spans="1:78" ht="30" customHeight="1" x14ac:dyDescent="0.3">
      <c r="A3" s="43" t="s">
        <v>2</v>
      </c>
      <c r="B3" s="94" t="s">
        <v>72</v>
      </c>
      <c r="C3" s="81" t="s">
        <v>15</v>
      </c>
      <c r="D3" s="82"/>
      <c r="E3" s="83">
        <f ca="1">TODAY()</f>
        <v>45931</v>
      </c>
      <c r="F3" s="83"/>
    </row>
    <row r="4" spans="1:78" ht="30" customHeight="1" x14ac:dyDescent="0.3">
      <c r="A4" s="44" t="s">
        <v>3</v>
      </c>
      <c r="B4" s="94" t="s">
        <v>73</v>
      </c>
      <c r="C4" s="81" t="s">
        <v>16</v>
      </c>
      <c r="D4" s="82"/>
      <c r="E4" s="7">
        <v>1</v>
      </c>
      <c r="I4" s="84">
        <f ca="1">I5</f>
        <v>45929</v>
      </c>
      <c r="J4" s="85"/>
      <c r="K4" s="85"/>
      <c r="L4" s="85"/>
      <c r="M4" s="85"/>
      <c r="N4" s="85"/>
      <c r="O4" s="86"/>
      <c r="P4" s="87">
        <f ca="1">P5</f>
        <v>45936</v>
      </c>
      <c r="Q4" s="88"/>
      <c r="R4" s="88"/>
      <c r="S4" s="88"/>
      <c r="T4" s="88"/>
      <c r="U4" s="88"/>
      <c r="V4" s="89"/>
      <c r="W4" s="87">
        <f ca="1">W5</f>
        <v>45943</v>
      </c>
      <c r="X4" s="88"/>
      <c r="Y4" s="88"/>
      <c r="Z4" s="88"/>
      <c r="AA4" s="88"/>
      <c r="AB4" s="88"/>
      <c r="AC4" s="89"/>
      <c r="AD4" s="87">
        <f ca="1">AD5</f>
        <v>45950</v>
      </c>
      <c r="AE4" s="88"/>
      <c r="AF4" s="88"/>
      <c r="AG4" s="88"/>
      <c r="AH4" s="88"/>
      <c r="AI4" s="88"/>
      <c r="AJ4" s="89"/>
      <c r="AK4" s="87">
        <f ca="1">AK5</f>
        <v>45957</v>
      </c>
      <c r="AL4" s="88"/>
      <c r="AM4" s="88"/>
      <c r="AN4" s="88"/>
      <c r="AO4" s="88"/>
      <c r="AP4" s="88"/>
      <c r="AQ4" s="89"/>
      <c r="AR4" s="87">
        <f ca="1">AR5</f>
        <v>45964</v>
      </c>
      <c r="AS4" s="88"/>
      <c r="AT4" s="88"/>
      <c r="AU4" s="88"/>
      <c r="AV4" s="88"/>
      <c r="AW4" s="88"/>
      <c r="AX4" s="89"/>
      <c r="AY4" s="87">
        <f ca="1">AY5</f>
        <v>45971</v>
      </c>
      <c r="AZ4" s="88"/>
      <c r="BA4" s="88"/>
      <c r="BB4" s="88"/>
      <c r="BC4" s="88"/>
      <c r="BD4" s="88"/>
      <c r="BE4" s="89"/>
      <c r="BF4" s="87">
        <f ca="1">BF5</f>
        <v>45978</v>
      </c>
      <c r="BG4" s="88"/>
      <c r="BH4" s="88"/>
      <c r="BI4" s="88"/>
      <c r="BJ4" s="88"/>
      <c r="BK4" s="88"/>
      <c r="BL4" s="90"/>
      <c r="BM4" s="87">
        <f ca="1">BM5</f>
        <v>45985</v>
      </c>
      <c r="BN4" s="88"/>
      <c r="BO4" s="88"/>
      <c r="BP4" s="88"/>
      <c r="BQ4" s="88"/>
      <c r="BR4" s="88"/>
      <c r="BS4" s="90"/>
      <c r="BT4" s="87">
        <f ca="1">BT5</f>
        <v>45992</v>
      </c>
      <c r="BU4" s="88"/>
      <c r="BV4" s="88"/>
      <c r="BW4" s="88"/>
      <c r="BX4" s="88"/>
      <c r="BY4" s="88"/>
      <c r="BZ4" s="90"/>
    </row>
    <row r="5" spans="1:78" ht="15" customHeight="1" x14ac:dyDescent="0.3">
      <c r="A5" s="44" t="s">
        <v>4</v>
      </c>
      <c r="B5" s="62"/>
      <c r="C5" s="62"/>
      <c r="D5" s="62"/>
      <c r="E5" s="62"/>
      <c r="F5" s="62"/>
      <c r="G5" s="62"/>
      <c r="I5" s="91">
        <f ca="1">Inicio_del_proyecto-WEEKDAY(Inicio_del_proyecto,1)+2+7*(Semana_para_mostrar-1)</f>
        <v>45929</v>
      </c>
      <c r="J5" s="91">
        <f ca="1">I5+1</f>
        <v>45930</v>
      </c>
      <c r="K5" s="91">
        <f t="shared" ref="K5:AX5" ca="1" si="0">J5+1</f>
        <v>45931</v>
      </c>
      <c r="L5" s="91">
        <f t="shared" ca="1" si="0"/>
        <v>45932</v>
      </c>
      <c r="M5" s="91">
        <f t="shared" ca="1" si="0"/>
        <v>45933</v>
      </c>
      <c r="N5" s="91">
        <f t="shared" ca="1" si="0"/>
        <v>45934</v>
      </c>
      <c r="O5" s="91">
        <f t="shared" ca="1" si="0"/>
        <v>45935</v>
      </c>
      <c r="P5" s="91">
        <f ca="1">O5+1</f>
        <v>45936</v>
      </c>
      <c r="Q5" s="91">
        <f ca="1">P5+1</f>
        <v>45937</v>
      </c>
      <c r="R5" s="91">
        <f t="shared" ca="1" si="0"/>
        <v>45938</v>
      </c>
      <c r="S5" s="91">
        <f t="shared" ca="1" si="0"/>
        <v>45939</v>
      </c>
      <c r="T5" s="91">
        <f t="shared" ca="1" si="0"/>
        <v>45940</v>
      </c>
      <c r="U5" s="91">
        <f t="shared" ca="1" si="0"/>
        <v>45941</v>
      </c>
      <c r="V5" s="91">
        <f t="shared" ca="1" si="0"/>
        <v>45942</v>
      </c>
      <c r="W5" s="91">
        <f ca="1">V5+1</f>
        <v>45943</v>
      </c>
      <c r="X5" s="91">
        <f ca="1">W5+1</f>
        <v>45944</v>
      </c>
      <c r="Y5" s="91">
        <f t="shared" ca="1" si="0"/>
        <v>45945</v>
      </c>
      <c r="Z5" s="91">
        <f t="shared" ca="1" si="0"/>
        <v>45946</v>
      </c>
      <c r="AA5" s="91">
        <f t="shared" ca="1" si="0"/>
        <v>45947</v>
      </c>
      <c r="AB5" s="91">
        <f t="shared" ca="1" si="0"/>
        <v>45948</v>
      </c>
      <c r="AC5" s="91">
        <f t="shared" ca="1" si="0"/>
        <v>45949</v>
      </c>
      <c r="AD5" s="91">
        <f ca="1">AC5+1</f>
        <v>45950</v>
      </c>
      <c r="AE5" s="91">
        <f ca="1">AD5+1</f>
        <v>45951</v>
      </c>
      <c r="AF5" s="91">
        <f t="shared" ca="1" si="0"/>
        <v>45952</v>
      </c>
      <c r="AG5" s="91">
        <f t="shared" ca="1" si="0"/>
        <v>45953</v>
      </c>
      <c r="AH5" s="91">
        <f t="shared" ca="1" si="0"/>
        <v>45954</v>
      </c>
      <c r="AI5" s="91">
        <f t="shared" ca="1" si="0"/>
        <v>45955</v>
      </c>
      <c r="AJ5" s="91">
        <f t="shared" ca="1" si="0"/>
        <v>45956</v>
      </c>
      <c r="AK5" s="91">
        <f ca="1">AJ5+1</f>
        <v>45957</v>
      </c>
      <c r="AL5" s="91">
        <f ca="1">AK5+1</f>
        <v>45958</v>
      </c>
      <c r="AM5" s="91">
        <f t="shared" ca="1" si="0"/>
        <v>45959</v>
      </c>
      <c r="AN5" s="91">
        <f t="shared" ca="1" si="0"/>
        <v>45960</v>
      </c>
      <c r="AO5" s="91">
        <f t="shared" ca="1" si="0"/>
        <v>45961</v>
      </c>
      <c r="AP5" s="91">
        <f t="shared" ca="1" si="0"/>
        <v>45962</v>
      </c>
      <c r="AQ5" s="91">
        <f t="shared" ca="1" si="0"/>
        <v>45963</v>
      </c>
      <c r="AR5" s="91">
        <f ca="1">AQ5+1</f>
        <v>45964</v>
      </c>
      <c r="AS5" s="91">
        <f ca="1">AR5+1</f>
        <v>45965</v>
      </c>
      <c r="AT5" s="91">
        <f t="shared" ca="1" si="0"/>
        <v>45966</v>
      </c>
      <c r="AU5" s="91">
        <f t="shared" ca="1" si="0"/>
        <v>45967</v>
      </c>
      <c r="AV5" s="91">
        <f t="shared" ca="1" si="0"/>
        <v>45968</v>
      </c>
      <c r="AW5" s="91">
        <f t="shared" ca="1" si="0"/>
        <v>45969</v>
      </c>
      <c r="AX5" s="91">
        <f t="shared" ca="1" si="0"/>
        <v>45970</v>
      </c>
      <c r="AY5" s="91">
        <f ca="1">AX5+1</f>
        <v>45971</v>
      </c>
      <c r="AZ5" s="91">
        <f ca="1">AY5+1</f>
        <v>45972</v>
      </c>
      <c r="BA5" s="91">
        <f t="shared" ref="BA5:BE5" ca="1" si="1">AZ5+1</f>
        <v>45973</v>
      </c>
      <c r="BB5" s="91">
        <f t="shared" ca="1" si="1"/>
        <v>45974</v>
      </c>
      <c r="BC5" s="91">
        <f t="shared" ca="1" si="1"/>
        <v>45975</v>
      </c>
      <c r="BD5" s="91">
        <f t="shared" ca="1" si="1"/>
        <v>45976</v>
      </c>
      <c r="BE5" s="91">
        <f t="shared" ca="1" si="1"/>
        <v>45977</v>
      </c>
      <c r="BF5" s="91">
        <f ca="1">BE5+1</f>
        <v>45978</v>
      </c>
      <c r="BG5" s="91">
        <f ca="1">BF5+1</f>
        <v>45979</v>
      </c>
      <c r="BH5" s="91">
        <f t="shared" ref="BH5:BL5" ca="1" si="2">BG5+1</f>
        <v>45980</v>
      </c>
      <c r="BI5" s="91">
        <f t="shared" ca="1" si="2"/>
        <v>45981</v>
      </c>
      <c r="BJ5" s="91">
        <f t="shared" ca="1" si="2"/>
        <v>45982</v>
      </c>
      <c r="BK5" s="91">
        <f t="shared" ca="1" si="2"/>
        <v>45983</v>
      </c>
      <c r="BL5" s="91">
        <f t="shared" ca="1" si="2"/>
        <v>45984</v>
      </c>
      <c r="BM5" s="91">
        <f ca="1">BL5+1</f>
        <v>45985</v>
      </c>
      <c r="BN5" s="91">
        <f ca="1">BM5+1</f>
        <v>45986</v>
      </c>
      <c r="BO5" s="91">
        <f t="shared" ref="BO5" ca="1" si="3">BN5+1</f>
        <v>45987</v>
      </c>
      <c r="BP5" s="91">
        <f t="shared" ref="BP5" ca="1" si="4">BO5+1</f>
        <v>45988</v>
      </c>
      <c r="BQ5" s="91">
        <f t="shared" ref="BQ5" ca="1" si="5">BP5+1</f>
        <v>45989</v>
      </c>
      <c r="BR5" s="91">
        <f t="shared" ref="BR5" ca="1" si="6">BQ5+1</f>
        <v>45990</v>
      </c>
      <c r="BS5" s="91">
        <f t="shared" ref="BS5" ca="1" si="7">BR5+1</f>
        <v>45991</v>
      </c>
      <c r="BT5" s="91">
        <f ca="1">BS5+1</f>
        <v>45992</v>
      </c>
      <c r="BU5" s="91">
        <f ca="1">BT5+1</f>
        <v>45993</v>
      </c>
      <c r="BV5" s="91">
        <f t="shared" ref="BV5" ca="1" si="8">BU5+1</f>
        <v>45994</v>
      </c>
      <c r="BW5" s="91">
        <f t="shared" ref="BW5" ca="1" si="9">BV5+1</f>
        <v>45995</v>
      </c>
      <c r="BX5" s="91">
        <f t="shared" ref="BX5" ca="1" si="10">BW5+1</f>
        <v>45996</v>
      </c>
      <c r="BY5" s="91">
        <f t="shared" ref="BY5" ca="1" si="11">BX5+1</f>
        <v>45997</v>
      </c>
      <c r="BZ5" s="91">
        <f t="shared" ref="BZ5" ca="1" si="12">BY5+1</f>
        <v>45998</v>
      </c>
    </row>
    <row r="6" spans="1:78" ht="30" customHeight="1" thickBot="1" x14ac:dyDescent="0.35">
      <c r="A6" s="44" t="s">
        <v>5</v>
      </c>
      <c r="B6" s="8" t="s">
        <v>14</v>
      </c>
      <c r="C6" s="9" t="s">
        <v>17</v>
      </c>
      <c r="D6" s="9" t="s">
        <v>19</v>
      </c>
      <c r="E6" s="9" t="s">
        <v>20</v>
      </c>
      <c r="F6" s="9" t="s">
        <v>21</v>
      </c>
      <c r="G6" s="9"/>
      <c r="H6" s="9" t="s">
        <v>22</v>
      </c>
      <c r="I6" s="10" t="str">
        <f t="shared" ref="I6" ca="1" si="13">LEFT(TEXT(I5,"ddd"),1)</f>
        <v>l</v>
      </c>
      <c r="J6" s="10" t="str">
        <f t="shared" ref="J6:AR6" ca="1" si="14">LEFT(TEXT(J5,"ddd"),1)</f>
        <v>m</v>
      </c>
      <c r="K6" s="10" t="str">
        <f t="shared" ca="1" si="14"/>
        <v>m</v>
      </c>
      <c r="L6" s="10" t="str">
        <f t="shared" ca="1" si="14"/>
        <v>j</v>
      </c>
      <c r="M6" s="10" t="str">
        <f t="shared" ca="1" si="14"/>
        <v>v</v>
      </c>
      <c r="N6" s="10" t="str">
        <f t="shared" ca="1" si="14"/>
        <v>s</v>
      </c>
      <c r="O6" s="10" t="str">
        <f t="shared" ca="1" si="14"/>
        <v>d</v>
      </c>
      <c r="P6" s="10" t="str">
        <f t="shared" ca="1" si="14"/>
        <v>l</v>
      </c>
      <c r="Q6" s="10" t="str">
        <f t="shared" ca="1" si="14"/>
        <v>m</v>
      </c>
      <c r="R6" s="10" t="str">
        <f t="shared" ca="1" si="14"/>
        <v>m</v>
      </c>
      <c r="S6" s="10" t="str">
        <f t="shared" ca="1" si="14"/>
        <v>j</v>
      </c>
      <c r="T6" s="10" t="str">
        <f t="shared" ca="1" si="14"/>
        <v>v</v>
      </c>
      <c r="U6" s="10" t="str">
        <f t="shared" ca="1" si="14"/>
        <v>s</v>
      </c>
      <c r="V6" s="10" t="str">
        <f t="shared" ca="1" si="14"/>
        <v>d</v>
      </c>
      <c r="W6" s="10" t="str">
        <f t="shared" ca="1" si="14"/>
        <v>l</v>
      </c>
      <c r="X6" s="10" t="str">
        <f t="shared" ca="1" si="14"/>
        <v>m</v>
      </c>
      <c r="Y6" s="10" t="str">
        <f t="shared" ca="1" si="14"/>
        <v>m</v>
      </c>
      <c r="Z6" s="10" t="str">
        <f t="shared" ca="1" si="14"/>
        <v>j</v>
      </c>
      <c r="AA6" s="10" t="str">
        <f t="shared" ca="1" si="14"/>
        <v>v</v>
      </c>
      <c r="AB6" s="10" t="str">
        <f t="shared" ca="1" si="14"/>
        <v>s</v>
      </c>
      <c r="AC6" s="10" t="str">
        <f t="shared" ca="1" si="14"/>
        <v>d</v>
      </c>
      <c r="AD6" s="10" t="str">
        <f t="shared" ca="1" si="14"/>
        <v>l</v>
      </c>
      <c r="AE6" s="10" t="str">
        <f t="shared" ca="1" si="14"/>
        <v>m</v>
      </c>
      <c r="AF6" s="10" t="str">
        <f t="shared" ca="1" si="14"/>
        <v>m</v>
      </c>
      <c r="AG6" s="10" t="str">
        <f t="shared" ca="1" si="14"/>
        <v>j</v>
      </c>
      <c r="AH6" s="10" t="str">
        <f t="shared" ca="1" si="14"/>
        <v>v</v>
      </c>
      <c r="AI6" s="10" t="str">
        <f t="shared" ca="1" si="14"/>
        <v>s</v>
      </c>
      <c r="AJ6" s="10" t="str">
        <f t="shared" ca="1" si="14"/>
        <v>d</v>
      </c>
      <c r="AK6" s="10" t="str">
        <f t="shared" ca="1" si="14"/>
        <v>l</v>
      </c>
      <c r="AL6" s="10" t="str">
        <f t="shared" ca="1" si="14"/>
        <v>m</v>
      </c>
      <c r="AM6" s="10" t="str">
        <f t="shared" ca="1" si="14"/>
        <v>m</v>
      </c>
      <c r="AN6" s="10" t="str">
        <f t="shared" ca="1" si="14"/>
        <v>j</v>
      </c>
      <c r="AO6" s="10" t="str">
        <f t="shared" ca="1" si="14"/>
        <v>v</v>
      </c>
      <c r="AP6" s="10" t="str">
        <f t="shared" ca="1" si="14"/>
        <v>s</v>
      </c>
      <c r="AQ6" s="10" t="str">
        <f t="shared" ca="1" si="14"/>
        <v>d</v>
      </c>
      <c r="AR6" s="10" t="str">
        <f t="shared" ca="1" si="14"/>
        <v>l</v>
      </c>
      <c r="AS6" s="10" t="str">
        <f t="shared" ref="AS6:BL6" ca="1" si="15">LEFT(TEXT(AS5,"ddd"),1)</f>
        <v>m</v>
      </c>
      <c r="AT6" s="10" t="str">
        <f t="shared" ca="1" si="15"/>
        <v>m</v>
      </c>
      <c r="AU6" s="10" t="str">
        <f t="shared" ca="1" si="15"/>
        <v>j</v>
      </c>
      <c r="AV6" s="10" t="str">
        <f t="shared" ca="1" si="15"/>
        <v>v</v>
      </c>
      <c r="AW6" s="10" t="str">
        <f t="shared" ca="1" si="15"/>
        <v>s</v>
      </c>
      <c r="AX6" s="10" t="str">
        <f t="shared" ca="1" si="15"/>
        <v>d</v>
      </c>
      <c r="AY6" s="10" t="str">
        <f t="shared" ca="1" si="15"/>
        <v>l</v>
      </c>
      <c r="AZ6" s="10" t="str">
        <f t="shared" ca="1" si="15"/>
        <v>m</v>
      </c>
      <c r="BA6" s="10" t="str">
        <f t="shared" ca="1" si="15"/>
        <v>m</v>
      </c>
      <c r="BB6" s="10" t="str">
        <f t="shared" ca="1" si="15"/>
        <v>j</v>
      </c>
      <c r="BC6" s="10" t="str">
        <f t="shared" ca="1" si="15"/>
        <v>v</v>
      </c>
      <c r="BD6" s="10" t="str">
        <f t="shared" ca="1" si="15"/>
        <v>s</v>
      </c>
      <c r="BE6" s="10" t="str">
        <f t="shared" ca="1" si="15"/>
        <v>d</v>
      </c>
      <c r="BF6" s="10" t="str">
        <f t="shared" ca="1" si="15"/>
        <v>l</v>
      </c>
      <c r="BG6" s="10" t="str">
        <f t="shared" ca="1" si="15"/>
        <v>m</v>
      </c>
      <c r="BH6" s="10" t="str">
        <f t="shared" ca="1" si="15"/>
        <v>m</v>
      </c>
      <c r="BI6" s="10" t="str">
        <f t="shared" ca="1" si="15"/>
        <v>j</v>
      </c>
      <c r="BJ6" s="10" t="str">
        <f t="shared" ca="1" si="15"/>
        <v>v</v>
      </c>
      <c r="BK6" s="10" t="str">
        <f t="shared" ca="1" si="15"/>
        <v>s</v>
      </c>
      <c r="BL6" s="10" t="str">
        <f t="shared" ca="1" si="15"/>
        <v>d</v>
      </c>
      <c r="BM6" s="10" t="str">
        <f t="shared" ref="BM6:BS6" ca="1" si="16">LEFT(TEXT(BM5,"ddd"),1)</f>
        <v>l</v>
      </c>
      <c r="BN6" s="10" t="str">
        <f t="shared" ca="1" si="16"/>
        <v>m</v>
      </c>
      <c r="BO6" s="10" t="str">
        <f t="shared" ca="1" si="16"/>
        <v>m</v>
      </c>
      <c r="BP6" s="10" t="str">
        <f t="shared" ca="1" si="16"/>
        <v>j</v>
      </c>
      <c r="BQ6" s="10" t="str">
        <f t="shared" ca="1" si="16"/>
        <v>v</v>
      </c>
      <c r="BR6" s="10" t="str">
        <f t="shared" ca="1" si="16"/>
        <v>s</v>
      </c>
      <c r="BS6" s="10" t="str">
        <f t="shared" ca="1" si="16"/>
        <v>d</v>
      </c>
      <c r="BT6" s="10" t="str">
        <f t="shared" ref="BT6:BZ6" ca="1" si="17">LEFT(TEXT(BT5,"ddd"),1)</f>
        <v>l</v>
      </c>
      <c r="BU6" s="10" t="str">
        <f t="shared" ca="1" si="17"/>
        <v>m</v>
      </c>
      <c r="BV6" s="10" t="str">
        <f t="shared" ca="1" si="17"/>
        <v>m</v>
      </c>
      <c r="BW6" s="10" t="str">
        <f t="shared" ca="1" si="17"/>
        <v>j</v>
      </c>
      <c r="BX6" s="10" t="str">
        <f t="shared" ca="1" si="17"/>
        <v>v</v>
      </c>
      <c r="BY6" s="10" t="str">
        <f t="shared" ca="1" si="17"/>
        <v>s</v>
      </c>
      <c r="BZ6" s="10" t="str">
        <f t="shared" ca="1" si="17"/>
        <v>d</v>
      </c>
    </row>
    <row r="7" spans="1:78" ht="30" hidden="1" customHeight="1" thickBot="1" x14ac:dyDescent="0.35">
      <c r="A7" s="43" t="s">
        <v>6</v>
      </c>
      <c r="C7" s="46"/>
      <c r="E7"/>
      <c r="H7" t="str">
        <f>IF(OR(ISBLANK(task_start),ISBLANK(task_end)),"",task_end-task_start+1)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c r="BU7" s="29"/>
      <c r="BV7" s="29"/>
      <c r="BW7" s="29"/>
      <c r="BX7" s="29"/>
      <c r="BY7" s="29"/>
      <c r="BZ7" s="29"/>
    </row>
    <row r="8" spans="1:78" s="3" customFormat="1" ht="30" customHeight="1" thickBot="1" x14ac:dyDescent="0.35">
      <c r="A8" s="44" t="s">
        <v>7</v>
      </c>
      <c r="B8" s="15" t="s">
        <v>38</v>
      </c>
      <c r="C8" s="48"/>
      <c r="D8" s="16"/>
      <c r="E8" s="66"/>
      <c r="F8" s="67"/>
      <c r="G8" s="14"/>
      <c r="H8" s="14" t="str">
        <f t="shared" ref="H8:H40" si="18">IF(OR(ISBLANK(task_start),ISBLANK(task_end)),"",task_end-task_start+1)</f>
        <v/>
      </c>
      <c r="I8" s="92"/>
      <c r="J8" s="92"/>
      <c r="K8" s="92"/>
      <c r="L8" s="92"/>
      <c r="M8" s="92"/>
      <c r="N8" s="92"/>
      <c r="O8" s="92"/>
      <c r="P8" s="92"/>
      <c r="Q8" s="92"/>
      <c r="R8" s="92"/>
      <c r="S8" s="92"/>
      <c r="T8" s="92"/>
      <c r="U8" s="92"/>
      <c r="V8" s="92"/>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row>
    <row r="9" spans="1:78" s="3" customFormat="1" ht="30" customHeight="1" thickBot="1" x14ac:dyDescent="0.35">
      <c r="A9" s="44" t="s">
        <v>8</v>
      </c>
      <c r="B9" s="57" t="s">
        <v>44</v>
      </c>
      <c r="C9" s="49" t="s">
        <v>18</v>
      </c>
      <c r="D9" s="17">
        <v>1</v>
      </c>
      <c r="E9" s="68">
        <f ca="1">Inicio_del_proyecto</f>
        <v>45931</v>
      </c>
      <c r="F9" s="68">
        <f ca="1">E9+3</f>
        <v>45934</v>
      </c>
      <c r="G9" s="14"/>
      <c r="H9" s="14">
        <f t="shared" ca="1" si="18"/>
        <v>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row>
    <row r="10" spans="1:78" s="3" customFormat="1" ht="30" customHeight="1" thickBot="1" x14ac:dyDescent="0.35">
      <c r="A10" s="44" t="s">
        <v>9</v>
      </c>
      <c r="B10" s="57" t="s">
        <v>47</v>
      </c>
      <c r="C10" s="49"/>
      <c r="D10" s="17">
        <v>1</v>
      </c>
      <c r="E10" s="68">
        <f ca="1">F9</f>
        <v>45934</v>
      </c>
      <c r="F10" s="68">
        <f ca="1">E10+2</f>
        <v>45936</v>
      </c>
      <c r="G10" s="14"/>
      <c r="H10" s="14">
        <f t="shared" ca="1" si="18"/>
        <v>3</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row>
    <row r="11" spans="1:78" s="3" customFormat="1" ht="30" customHeight="1" thickBot="1" x14ac:dyDescent="0.35">
      <c r="A11" s="43"/>
      <c r="B11" s="57" t="s">
        <v>45</v>
      </c>
      <c r="C11" s="49"/>
      <c r="D11" s="17">
        <v>0.95</v>
      </c>
      <c r="E11" s="68">
        <f ca="1">F10</f>
        <v>45936</v>
      </c>
      <c r="F11" s="68">
        <f ca="1">E11+4</f>
        <v>45940</v>
      </c>
      <c r="G11" s="14"/>
      <c r="H11" s="14">
        <f t="shared" ca="1" si="18"/>
        <v>5</v>
      </c>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row>
    <row r="12" spans="1:78" s="3" customFormat="1" ht="30" customHeight="1" thickBot="1" x14ac:dyDescent="0.35">
      <c r="A12" s="43"/>
      <c r="B12" s="57" t="s">
        <v>46</v>
      </c>
      <c r="C12" s="49"/>
      <c r="D12" s="17">
        <v>0.9</v>
      </c>
      <c r="E12" s="68">
        <f ca="1">F11</f>
        <v>45940</v>
      </c>
      <c r="F12" s="68">
        <f ca="1">E12+2</f>
        <v>45942</v>
      </c>
      <c r="G12" s="14"/>
      <c r="H12" s="14">
        <f t="shared" ca="1" si="18"/>
        <v>3</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row>
    <row r="13" spans="1:78" s="3" customFormat="1" ht="30" customHeight="1" thickBot="1" x14ac:dyDescent="0.35">
      <c r="A13" s="44" t="s">
        <v>10</v>
      </c>
      <c r="B13" s="18" t="s">
        <v>39</v>
      </c>
      <c r="C13" s="50"/>
      <c r="D13" s="19"/>
      <c r="E13" s="69"/>
      <c r="F13" s="70"/>
      <c r="G13" s="14"/>
      <c r="H13" s="14" t="str">
        <f t="shared" si="18"/>
        <v/>
      </c>
      <c r="I13" s="29"/>
      <c r="J13" s="29"/>
      <c r="K13" s="29"/>
      <c r="L13" s="29"/>
      <c r="M13" s="29"/>
      <c r="N13" s="29"/>
      <c r="O13" s="29"/>
      <c r="P13" s="29"/>
      <c r="Q13" s="29"/>
      <c r="R13" s="29"/>
      <c r="S13" s="29"/>
      <c r="T13" s="29"/>
      <c r="U13" s="29"/>
      <c r="V13" s="29"/>
      <c r="W13" s="92"/>
      <c r="X13" s="92"/>
      <c r="Y13" s="92"/>
      <c r="Z13" s="92"/>
      <c r="AA13" s="92"/>
      <c r="AB13" s="92"/>
      <c r="AC13" s="92"/>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row>
    <row r="14" spans="1:78" s="3" customFormat="1" ht="30" customHeight="1" thickBot="1" x14ac:dyDescent="0.35">
      <c r="A14" s="44"/>
      <c r="B14" s="58" t="s">
        <v>48</v>
      </c>
      <c r="C14" s="51"/>
      <c r="D14" s="20">
        <v>1</v>
      </c>
      <c r="E14" s="71">
        <f ca="1">F12+1</f>
        <v>45943</v>
      </c>
      <c r="F14" s="71">
        <f ca="1">E14+1</f>
        <v>45944</v>
      </c>
      <c r="G14" s="14"/>
      <c r="H14" s="14">
        <f t="shared" ca="1" si="18"/>
        <v>2</v>
      </c>
      <c r="I14" s="29"/>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row>
    <row r="15" spans="1:78" s="3" customFormat="1" ht="30" customHeight="1" thickBot="1" x14ac:dyDescent="0.35">
      <c r="A15" s="43"/>
      <c r="B15" s="58" t="s">
        <v>49</v>
      </c>
      <c r="C15" s="51"/>
      <c r="D15" s="20">
        <v>1</v>
      </c>
      <c r="E15" s="71">
        <f ca="1">F14+1</f>
        <v>45945</v>
      </c>
      <c r="F15" s="71">
        <f ca="1">E15+1</f>
        <v>45946</v>
      </c>
      <c r="G15" s="14"/>
      <c r="H15" s="14">
        <f t="shared" ca="1" si="18"/>
        <v>2</v>
      </c>
      <c r="I15" s="29"/>
      <c r="J15" s="29"/>
      <c r="K15" s="29"/>
      <c r="L15" s="29"/>
      <c r="M15" s="29"/>
      <c r="N15" s="29"/>
      <c r="O15" s="29"/>
      <c r="P15" s="29"/>
      <c r="Q15" s="29"/>
      <c r="R15" s="29"/>
      <c r="S15" s="29"/>
      <c r="T15" s="29"/>
      <c r="U15" s="30"/>
      <c r="V15" s="30"/>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row>
    <row r="16" spans="1:78" s="3" customFormat="1" ht="30" customHeight="1" thickBot="1" x14ac:dyDescent="0.35">
      <c r="A16" s="43"/>
      <c r="B16" s="58" t="s">
        <v>50</v>
      </c>
      <c r="C16" s="51"/>
      <c r="D16" s="20">
        <v>0.9</v>
      </c>
      <c r="E16" s="71">
        <f ca="1">F15+1</f>
        <v>45947</v>
      </c>
      <c r="F16" s="71">
        <f ca="1">E16+1</f>
        <v>45948</v>
      </c>
      <c r="G16" s="14"/>
      <c r="H16" s="14">
        <f t="shared" ca="1" si="18"/>
        <v>2</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row>
    <row r="17" spans="1:78" s="3" customFormat="1" ht="30" customHeight="1" thickBot="1" x14ac:dyDescent="0.35">
      <c r="A17" s="43"/>
      <c r="B17" s="58" t="s">
        <v>51</v>
      </c>
      <c r="C17" s="51"/>
      <c r="D17" s="20">
        <v>0.8</v>
      </c>
      <c r="E17" s="71">
        <f ca="1">F16+1</f>
        <v>45949</v>
      </c>
      <c r="F17" s="71">
        <f ca="1">E17+0</f>
        <v>45949</v>
      </c>
      <c r="G17" s="14"/>
      <c r="H17" s="14">
        <f t="shared" ca="1" si="18"/>
        <v>1</v>
      </c>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row>
    <row r="18" spans="1:78" s="3" customFormat="1" ht="30" customHeight="1" thickBot="1" x14ac:dyDescent="0.35">
      <c r="A18" s="43" t="s">
        <v>11</v>
      </c>
      <c r="B18" s="21" t="s">
        <v>42</v>
      </c>
      <c r="C18" s="52"/>
      <c r="D18" s="22"/>
      <c r="E18" s="72"/>
      <c r="F18" s="73"/>
      <c r="G18" s="14"/>
      <c r="H18" s="14" t="str">
        <f t="shared" si="18"/>
        <v/>
      </c>
      <c r="I18" s="29"/>
      <c r="J18" s="29"/>
      <c r="K18" s="29"/>
      <c r="L18" s="29"/>
      <c r="M18" s="29"/>
      <c r="N18" s="29"/>
      <c r="O18" s="29"/>
      <c r="P18" s="29"/>
      <c r="Q18" s="29"/>
      <c r="R18" s="29"/>
      <c r="S18" s="29"/>
      <c r="T18" s="29"/>
      <c r="U18" s="29"/>
      <c r="V18" s="29"/>
      <c r="W18" s="29"/>
      <c r="X18" s="29"/>
      <c r="Y18" s="29"/>
      <c r="Z18" s="29"/>
      <c r="AA18" s="29"/>
      <c r="AB18" s="29"/>
      <c r="AC18" s="29"/>
      <c r="AD18" s="92"/>
      <c r="AE18" s="92"/>
      <c r="AF18" s="92"/>
      <c r="AG18" s="92"/>
      <c r="AH18" s="92"/>
      <c r="AI18" s="92"/>
      <c r="AJ18" s="92"/>
      <c r="AK18" s="92"/>
      <c r="AL18" s="92"/>
      <c r="AM18" s="92"/>
      <c r="AN18" s="92"/>
      <c r="AO18" s="92"/>
      <c r="AP18" s="92"/>
      <c r="AQ18" s="92"/>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row>
    <row r="19" spans="1:78" s="3" customFormat="1" ht="30" customHeight="1" thickBot="1" x14ac:dyDescent="0.35">
      <c r="A19" s="43"/>
      <c r="B19" s="59" t="s">
        <v>52</v>
      </c>
      <c r="C19" s="53"/>
      <c r="D19" s="20">
        <v>0.55000000000000004</v>
      </c>
      <c r="E19" s="74">
        <f ca="1">F17+1</f>
        <v>45950</v>
      </c>
      <c r="F19" s="74">
        <f ca="1">E19+3</f>
        <v>45953</v>
      </c>
      <c r="G19" s="14"/>
      <c r="H19" s="14">
        <f t="shared" ca="1" si="18"/>
        <v>4</v>
      </c>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row>
    <row r="20" spans="1:78" s="3" customFormat="1" ht="30" customHeight="1" thickBot="1" x14ac:dyDescent="0.35">
      <c r="A20" s="43"/>
      <c r="B20" s="59" t="s">
        <v>53</v>
      </c>
      <c r="C20" s="53"/>
      <c r="D20" s="20">
        <v>0.4</v>
      </c>
      <c r="E20" s="74">
        <f ca="1">F19+1</f>
        <v>45954</v>
      </c>
      <c r="F20" s="74">
        <f ca="1">E20+4</f>
        <v>45958</v>
      </c>
      <c r="G20" s="14"/>
      <c r="H20" s="14">
        <f t="shared" ca="1" si="18"/>
        <v>5</v>
      </c>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row>
    <row r="21" spans="1:78" s="3" customFormat="1" ht="30" customHeight="1" thickBot="1" x14ac:dyDescent="0.35">
      <c r="A21" s="43"/>
      <c r="B21" s="59" t="s">
        <v>54</v>
      </c>
      <c r="C21" s="53"/>
      <c r="D21" s="20">
        <v>0.35</v>
      </c>
      <c r="E21" s="74">
        <f ca="1">F20+1</f>
        <v>45959</v>
      </c>
      <c r="F21" s="74">
        <f ca="1">E21+4</f>
        <v>45963</v>
      </c>
      <c r="G21" s="14"/>
      <c r="H21" s="14">
        <f t="shared" ca="1" si="18"/>
        <v>5</v>
      </c>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row>
    <row r="22" spans="1:78" s="3" customFormat="1" ht="30" customHeight="1" thickBot="1" x14ac:dyDescent="0.35">
      <c r="A22" s="43" t="s">
        <v>11</v>
      </c>
      <c r="B22" s="23" t="s">
        <v>40</v>
      </c>
      <c r="C22" s="54"/>
      <c r="D22" s="24"/>
      <c r="E22" s="75"/>
      <c r="F22" s="76"/>
      <c r="G22" s="14"/>
      <c r="H22" s="14" t="str">
        <f t="shared" si="18"/>
        <v/>
      </c>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92"/>
      <c r="AS22" s="92"/>
      <c r="AT22" s="92"/>
      <c r="AU22" s="92"/>
      <c r="AV22" s="92"/>
      <c r="AW22" s="92"/>
      <c r="AX22" s="92"/>
      <c r="AY22" s="92"/>
      <c r="AZ22" s="92"/>
      <c r="BA22" s="92"/>
      <c r="BB22" s="92"/>
      <c r="BC22" s="92"/>
      <c r="BD22" s="92"/>
      <c r="BE22" s="92"/>
      <c r="BF22" s="29"/>
      <c r="BG22" s="29"/>
      <c r="BH22" s="29"/>
      <c r="BI22" s="29"/>
      <c r="BJ22" s="29"/>
      <c r="BK22" s="29"/>
      <c r="BL22" s="29"/>
      <c r="BM22" s="29"/>
      <c r="BN22" s="29"/>
      <c r="BO22" s="29"/>
      <c r="BP22" s="29"/>
      <c r="BQ22" s="29"/>
      <c r="BR22" s="29"/>
      <c r="BS22" s="29"/>
      <c r="BT22" s="29"/>
      <c r="BU22" s="29"/>
      <c r="BV22" s="29"/>
      <c r="BW22" s="29"/>
      <c r="BX22" s="29"/>
      <c r="BY22" s="29"/>
      <c r="BZ22" s="29"/>
    </row>
    <row r="23" spans="1:78" s="3" customFormat="1" ht="30" customHeight="1" thickBot="1" x14ac:dyDescent="0.35">
      <c r="A23" s="43"/>
      <c r="B23" s="60" t="s">
        <v>55</v>
      </c>
      <c r="C23" s="55"/>
      <c r="D23" s="20">
        <v>0.3</v>
      </c>
      <c r="E23" s="77">
        <f ca="1">F21+1</f>
        <v>45964</v>
      </c>
      <c r="F23" s="77">
        <f ca="1">E23+1</f>
        <v>45965</v>
      </c>
      <c r="G23" s="14"/>
      <c r="H23" s="14">
        <f t="shared" ca="1" si="18"/>
        <v>2</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row>
    <row r="24" spans="1:78" s="3" customFormat="1" ht="30" customHeight="1" thickBot="1" x14ac:dyDescent="0.35">
      <c r="A24" s="43"/>
      <c r="B24" s="60" t="s">
        <v>56</v>
      </c>
      <c r="C24" s="55"/>
      <c r="D24" s="20">
        <v>0.27</v>
      </c>
      <c r="E24" s="77">
        <f ca="1">F23+1</f>
        <v>45966</v>
      </c>
      <c r="F24" s="77">
        <f ca="1">E24+1</f>
        <v>45967</v>
      </c>
      <c r="G24" s="14"/>
      <c r="H24" s="14">
        <f t="shared" ca="1" si="18"/>
        <v>2</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row>
    <row r="25" spans="1:78" s="3" customFormat="1" ht="30" customHeight="1" thickBot="1" x14ac:dyDescent="0.35">
      <c r="A25" s="43"/>
      <c r="B25" s="60" t="s">
        <v>57</v>
      </c>
      <c r="C25" s="55"/>
      <c r="D25" s="20">
        <v>0.25</v>
      </c>
      <c r="E25" s="77">
        <f ca="1">F24+1</f>
        <v>45968</v>
      </c>
      <c r="F25" s="77">
        <f ca="1">E25+1</f>
        <v>45969</v>
      </c>
      <c r="G25" s="14"/>
      <c r="H25" s="14">
        <f t="shared" ca="1" si="18"/>
        <v>2</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row>
    <row r="26" spans="1:78" s="3" customFormat="1" ht="30" customHeight="1" thickBot="1" x14ac:dyDescent="0.35">
      <c r="A26" s="43"/>
      <c r="B26" s="60" t="s">
        <v>58</v>
      </c>
      <c r="C26" s="55"/>
      <c r="D26" s="20">
        <v>0.19</v>
      </c>
      <c r="E26" s="77">
        <f ca="1">F25+1</f>
        <v>45970</v>
      </c>
      <c r="F26" s="77">
        <f ca="1">E26+1</f>
        <v>45971</v>
      </c>
      <c r="G26" s="14"/>
      <c r="H26" s="14">
        <f t="shared" ca="1" si="18"/>
        <v>2</v>
      </c>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row>
    <row r="27" spans="1:78" s="3" customFormat="1" ht="30" customHeight="1" thickBot="1" x14ac:dyDescent="0.35">
      <c r="A27" s="43"/>
      <c r="B27" s="60" t="s">
        <v>59</v>
      </c>
      <c r="C27" s="55"/>
      <c r="D27" s="20">
        <v>0.17</v>
      </c>
      <c r="E27" s="77">
        <f ca="1">F26+1</f>
        <v>45972</v>
      </c>
      <c r="F27" s="77">
        <f ca="1">E27+1</f>
        <v>45973</v>
      </c>
      <c r="G27" s="14"/>
      <c r="H27" s="14">
        <f t="shared" ca="1" si="18"/>
        <v>2</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row>
    <row r="28" spans="1:78" s="3" customFormat="1" ht="30" customHeight="1" thickBot="1" x14ac:dyDescent="0.35">
      <c r="A28" s="43"/>
      <c r="B28" s="60" t="s">
        <v>60</v>
      </c>
      <c r="C28" s="55"/>
      <c r="D28" s="20">
        <v>0.15</v>
      </c>
      <c r="E28" s="77">
        <f ca="1">F27+1</f>
        <v>45974</v>
      </c>
      <c r="F28" s="77">
        <f ca="1">E28+1</f>
        <v>45975</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row>
    <row r="29" spans="1:78" s="3" customFormat="1" ht="30" customHeight="1" thickBot="1" x14ac:dyDescent="0.35">
      <c r="A29" s="43"/>
      <c r="B29" s="60" t="s">
        <v>61</v>
      </c>
      <c r="C29" s="55"/>
      <c r="D29" s="20">
        <v>0.11</v>
      </c>
      <c r="E29" s="77">
        <f ca="1">F28+1</f>
        <v>45976</v>
      </c>
      <c r="F29" s="77">
        <f ca="1">E29+1</f>
        <v>45977</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row>
    <row r="30" spans="1:78" s="3" customFormat="1" ht="30" customHeight="1" thickBot="1" x14ac:dyDescent="0.35">
      <c r="A30" s="43" t="s">
        <v>11</v>
      </c>
      <c r="B30" s="23" t="s">
        <v>41</v>
      </c>
      <c r="C30" s="54"/>
      <c r="D30" s="24"/>
      <c r="E30" s="75"/>
      <c r="F30" s="76"/>
      <c r="G30" s="14"/>
      <c r="H30" s="14" t="str">
        <f t="shared" si="18"/>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92"/>
      <c r="BG30" s="92"/>
      <c r="BH30" s="92"/>
      <c r="BI30" s="92"/>
      <c r="BJ30" s="92"/>
      <c r="BK30" s="92"/>
      <c r="BL30" s="92"/>
      <c r="BM30" s="92"/>
      <c r="BN30" s="92"/>
      <c r="BO30" s="92"/>
      <c r="BP30" s="92"/>
      <c r="BQ30" s="92"/>
      <c r="BR30" s="92"/>
      <c r="BS30" s="29"/>
      <c r="BT30" s="29"/>
      <c r="BU30" s="29"/>
      <c r="BV30" s="29"/>
      <c r="BW30" s="29"/>
      <c r="BX30" s="29"/>
      <c r="BY30" s="29"/>
      <c r="BZ30" s="29"/>
    </row>
    <row r="31" spans="1:78" s="3" customFormat="1" ht="30" customHeight="1" thickBot="1" x14ac:dyDescent="0.35">
      <c r="A31" s="43"/>
      <c r="B31" s="60" t="s">
        <v>62</v>
      </c>
      <c r="C31" s="55"/>
      <c r="D31" s="20">
        <v>0</v>
      </c>
      <c r="E31" s="77">
        <f ca="1">F29+1</f>
        <v>45978</v>
      </c>
      <c r="F31" s="77">
        <f ca="1">E31+2</f>
        <v>45980</v>
      </c>
      <c r="G31" s="14"/>
      <c r="H31" s="14">
        <f t="shared" ca="1" si="18"/>
        <v>3</v>
      </c>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row>
    <row r="32" spans="1:78" s="3" customFormat="1" ht="30" customHeight="1" thickBot="1" x14ac:dyDescent="0.35">
      <c r="A32" s="43"/>
      <c r="B32" s="60" t="s">
        <v>63</v>
      </c>
      <c r="C32" s="55"/>
      <c r="D32" s="20">
        <v>0</v>
      </c>
      <c r="E32" s="77">
        <f ca="1">F31+1</f>
        <v>45981</v>
      </c>
      <c r="F32" s="77">
        <f ca="1">E32+2</f>
        <v>45983</v>
      </c>
      <c r="G32" s="14"/>
      <c r="H32" s="14">
        <f t="shared" ca="1" si="18"/>
        <v>3</v>
      </c>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row>
    <row r="33" spans="1:78" s="3" customFormat="1" ht="30" customHeight="1" thickBot="1" x14ac:dyDescent="0.35">
      <c r="A33" s="43"/>
      <c r="B33" s="60" t="s">
        <v>64</v>
      </c>
      <c r="C33" s="55"/>
      <c r="D33" s="20">
        <v>0</v>
      </c>
      <c r="E33" s="77">
        <f ca="1">F32+1</f>
        <v>45984</v>
      </c>
      <c r="F33" s="77">
        <f ca="1">E33+2</f>
        <v>45986</v>
      </c>
      <c r="G33" s="14"/>
      <c r="H33" s="14">
        <f t="shared" ca="1" si="18"/>
        <v>3</v>
      </c>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row>
    <row r="34" spans="1:78" s="3" customFormat="1" ht="30" customHeight="1" thickBot="1" x14ac:dyDescent="0.35">
      <c r="A34" s="43"/>
      <c r="B34" s="60" t="s">
        <v>65</v>
      </c>
      <c r="C34" s="55"/>
      <c r="D34" s="20">
        <v>0</v>
      </c>
      <c r="E34" s="77">
        <f ca="1">F33+1</f>
        <v>45987</v>
      </c>
      <c r="F34" s="77">
        <f ca="1">E34+3</f>
        <v>45990</v>
      </c>
      <c r="G34" s="14"/>
      <c r="H34" s="14">
        <f t="shared" ca="1" si="18"/>
        <v>4</v>
      </c>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row>
    <row r="35" spans="1:78" s="3" customFormat="1" ht="30" customHeight="1" thickBot="1" x14ac:dyDescent="0.35">
      <c r="A35" s="43" t="s">
        <v>11</v>
      </c>
      <c r="B35" s="23" t="s">
        <v>43</v>
      </c>
      <c r="C35" s="54"/>
      <c r="D35" s="24"/>
      <c r="E35" s="75"/>
      <c r="F35" s="76"/>
      <c r="G35" s="14"/>
      <c r="H35" s="14" t="str">
        <f t="shared" si="18"/>
        <v/>
      </c>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92"/>
      <c r="BT35" s="92"/>
      <c r="BU35" s="92"/>
      <c r="BV35" s="92"/>
      <c r="BW35" s="92"/>
      <c r="BX35" s="92"/>
      <c r="BY35" s="92"/>
      <c r="BZ35" s="92"/>
    </row>
    <row r="36" spans="1:78" s="3" customFormat="1" ht="30" customHeight="1" thickBot="1" x14ac:dyDescent="0.35">
      <c r="A36" s="43"/>
      <c r="B36" s="60" t="s">
        <v>66</v>
      </c>
      <c r="C36" s="55"/>
      <c r="D36" s="20">
        <v>0</v>
      </c>
      <c r="E36" s="77">
        <f ca="1">F34+1</f>
        <v>45991</v>
      </c>
      <c r="F36" s="77">
        <f ca="1">E36+2</f>
        <v>45993</v>
      </c>
      <c r="G36" s="14"/>
      <c r="H36" s="14">
        <f t="shared" ca="1" si="18"/>
        <v>3</v>
      </c>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row>
    <row r="37" spans="1:78" s="3" customFormat="1" ht="30" customHeight="1" thickBot="1" x14ac:dyDescent="0.35">
      <c r="A37" s="43"/>
      <c r="B37" s="60" t="s">
        <v>67</v>
      </c>
      <c r="C37" s="55"/>
      <c r="D37" s="20">
        <v>0</v>
      </c>
      <c r="E37" s="77">
        <f ca="1">F36+1</f>
        <v>45994</v>
      </c>
      <c r="F37" s="77">
        <f ca="1">E37+1</f>
        <v>45995</v>
      </c>
      <c r="G37" s="14"/>
      <c r="H37" s="14">
        <f t="shared" ca="1" si="18"/>
        <v>2</v>
      </c>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row>
    <row r="38" spans="1:78" s="3" customFormat="1" ht="30" customHeight="1" thickBot="1" x14ac:dyDescent="0.35">
      <c r="A38" s="43"/>
      <c r="B38" s="60" t="s">
        <v>68</v>
      </c>
      <c r="C38" s="55"/>
      <c r="D38" s="20">
        <v>0</v>
      </c>
      <c r="E38" s="77">
        <f ca="1">F37+1</f>
        <v>45996</v>
      </c>
      <c r="F38" s="77">
        <f ca="1">E38+2</f>
        <v>45998</v>
      </c>
      <c r="G38" s="14"/>
      <c r="H38" s="14">
        <f t="shared" ca="1" si="18"/>
        <v>3</v>
      </c>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t="s">
        <v>69</v>
      </c>
      <c r="BZ38" s="29"/>
    </row>
    <row r="39" spans="1:78" s="3" customFormat="1" ht="30" customHeight="1" thickBot="1" x14ac:dyDescent="0.35">
      <c r="A39" s="43" t="s">
        <v>12</v>
      </c>
      <c r="B39" s="61"/>
      <c r="C39" s="56"/>
      <c r="D39" s="13"/>
      <c r="E39" s="78"/>
      <c r="F39" s="78"/>
      <c r="G39" s="14"/>
      <c r="H39" s="14" t="str">
        <f t="shared" si="18"/>
        <v/>
      </c>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row>
    <row r="40" spans="1:78" s="3" customFormat="1" ht="30" customHeight="1" thickBot="1" x14ac:dyDescent="0.35">
      <c r="A40" s="44" t="s">
        <v>13</v>
      </c>
      <c r="B40" s="25"/>
      <c r="C40" s="26"/>
      <c r="D40" s="27"/>
      <c r="E40" s="79"/>
      <c r="F40" s="80"/>
      <c r="G40" s="28"/>
      <c r="H40" s="28" t="str">
        <f t="shared" si="18"/>
        <v/>
      </c>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row>
    <row r="41" spans="1:78" ht="30" customHeight="1" x14ac:dyDescent="0.3">
      <c r="G41" s="6"/>
    </row>
    <row r="42" spans="1:78" ht="30" customHeight="1" x14ac:dyDescent="0.3">
      <c r="C42" s="11"/>
      <c r="F42" s="45"/>
    </row>
    <row r="43" spans="1:78" ht="30" customHeight="1" x14ac:dyDescent="0.3">
      <c r="C43" s="12"/>
    </row>
  </sheetData>
  <mergeCells count="13">
    <mergeCell ref="BM4:BS4"/>
    <mergeCell ref="BT4:BZ4"/>
    <mergeCell ref="BF4:BL4"/>
    <mergeCell ref="E3:F3"/>
    <mergeCell ref="I4:O4"/>
    <mergeCell ref="P4:V4"/>
    <mergeCell ref="W4:AC4"/>
    <mergeCell ref="AD4:AJ4"/>
    <mergeCell ref="C3:D3"/>
    <mergeCell ref="C4:D4"/>
    <mergeCell ref="AK4:AQ4"/>
    <mergeCell ref="AR4:AX4"/>
    <mergeCell ref="AY4:BE4"/>
  </mergeCells>
  <conditionalFormatting sqref="D7:D40">
    <cfRule type="dataBar" priority="2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K29 I31:BK40 I30:BR30">
    <cfRule type="expression" dxfId="14" priority="42">
      <formula>AND(TODAY()&gt;=I$5,TODAY()&lt;J$5)</formula>
    </cfRule>
  </conditionalFormatting>
  <conditionalFormatting sqref="I7:BK29 I31:BK40 I30:BR30">
    <cfRule type="expression" dxfId="13" priority="36">
      <formula>AND(task_start&lt;=I$5,ROUNDDOWN((task_end-task_start+1)*task_progress,0)+task_start-1&gt;=I$5)</formula>
    </cfRule>
    <cfRule type="expression" dxfId="12" priority="37" stopIfTrue="1">
      <formula>AND(task_end&gt;=I$5,task_start&lt;J$5)</formula>
    </cfRule>
  </conditionalFormatting>
  <conditionalFormatting sqref="BL5:BL29 BS5:BS34 BZ5:BZ34 BL31:BL32 BZ36:BZ37 BS37:BS40 BL35:BL40 BZ39:BZ40">
    <cfRule type="expression" dxfId="11" priority="44">
      <formula>AND(TODAY()&gt;=BL$5,TODAY()&lt;CA$5)</formula>
    </cfRule>
  </conditionalFormatting>
  <conditionalFormatting sqref="BL7:BL29 BS7:BS34 BZ7:BZ34 BL31:BL32 BZ36:BZ37 BS37:BS40 BL35:BL40 BZ39:BZ40">
    <cfRule type="expression" dxfId="10" priority="47">
      <formula>AND(task_start&lt;=BL$5,ROUNDDOWN((task_end-task_start+1)*task_progress,0)+task_start-1&gt;=BL$5)</formula>
    </cfRule>
    <cfRule type="expression" dxfId="9" priority="48" stopIfTrue="1">
      <formula>AND(task_end&gt;=BL$5,task_start&lt;CA$5)</formula>
    </cfRule>
  </conditionalFormatting>
  <conditionalFormatting sqref="BM5:BR29 BM31:BR40 BL33:BL34">
    <cfRule type="expression" dxfId="8" priority="9">
      <formula>AND(TODAY()&gt;=BL$5,TODAY()&lt;BM$5)</formula>
    </cfRule>
  </conditionalFormatting>
  <conditionalFormatting sqref="BM7:BR29 BM31:BR40 BL33:BL34">
    <cfRule type="expression" dxfId="7" priority="7">
      <formula>AND(task_start&lt;=BL$5,ROUNDDOWN((task_end-task_start+1)*task_progress,0)+task_start-1&gt;=BL$5)</formula>
    </cfRule>
    <cfRule type="expression" dxfId="6" priority="8" stopIfTrue="1">
      <formula>AND(task_end&gt;=BL$5,task_start&lt;BM$5)</formula>
    </cfRule>
  </conditionalFormatting>
  <conditionalFormatting sqref="BT5:BY34 BT37:BY40 BS36:BY36 BZ38">
    <cfRule type="expression" dxfId="5" priority="6">
      <formula>AND(TODAY()&gt;=BS$5,TODAY()&lt;BT$5)</formula>
    </cfRule>
  </conditionalFormatting>
  <conditionalFormatting sqref="BT7:BY34 BT37:BY40 BS36:BY36 BZ38">
    <cfRule type="expression" dxfId="4" priority="4">
      <formula>AND(task_start&lt;=BS$5,ROUNDDOWN((task_end-task_start+1)*task_progress,0)+task_start-1&gt;=BS$5)</formula>
    </cfRule>
    <cfRule type="expression" dxfId="3" priority="5" stopIfTrue="1">
      <formula>AND(task_end&gt;=BS$5,task_start&lt;BT$5)</formula>
    </cfRule>
  </conditionalFormatting>
  <conditionalFormatting sqref="BS35:BZ35">
    <cfRule type="expression" dxfId="2" priority="3">
      <formula>AND(TODAY()&gt;=BS$5,TODAY()&lt;BT$5)</formula>
    </cfRule>
  </conditionalFormatting>
  <conditionalFormatting sqref="BS35:BZ35">
    <cfRule type="expression" dxfId="1" priority="1">
      <formula>AND(task_start&lt;=BS$5,ROUNDDOWN((task_end-task_start+1)*task_progress,0)+task_start-1&gt;=BS$5)</formula>
    </cfRule>
    <cfRule type="expression" dxfId="0" priority="2" stopIfTrue="1">
      <formula>AND(task_end&gt;=BS$5,task_start&lt;BT$5)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ignoredErrors>
    <ignoredError sqref="F20"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09375" defaultRowHeight="13.8" x14ac:dyDescent="0.3"/>
  <cols>
    <col min="1" max="1" width="87.109375" style="33" customWidth="1"/>
    <col min="2" max="16384" width="9.109375" style="2"/>
  </cols>
  <sheetData>
    <row r="1" spans="1:2" ht="46.5" customHeight="1" x14ac:dyDescent="0.3"/>
    <row r="2" spans="1:2" s="35" customFormat="1" ht="15.6" x14ac:dyDescent="0.3">
      <c r="A2" s="34" t="s">
        <v>23</v>
      </c>
      <c r="B2" s="34"/>
    </row>
    <row r="3" spans="1:2" s="39" customFormat="1" ht="27" customHeight="1" x14ac:dyDescent="0.3">
      <c r="A3" s="65" t="s">
        <v>24</v>
      </c>
      <c r="B3" s="40"/>
    </row>
    <row r="4" spans="1:2" s="36" customFormat="1" ht="25.8" x14ac:dyDescent="0.5">
      <c r="A4" s="37" t="s">
        <v>25</v>
      </c>
    </row>
    <row r="5" spans="1:2" ht="74.099999999999994" customHeight="1" x14ac:dyDescent="0.3">
      <c r="A5" s="38" t="s">
        <v>26</v>
      </c>
    </row>
    <row r="6" spans="1:2" ht="26.25" customHeight="1" x14ac:dyDescent="0.3">
      <c r="A6" s="37" t="s">
        <v>27</v>
      </c>
    </row>
    <row r="7" spans="1:2" s="33" customFormat="1" ht="228" customHeight="1" x14ac:dyDescent="0.3">
      <c r="A7" s="42" t="s">
        <v>28</v>
      </c>
    </row>
    <row r="8" spans="1:2" s="36" customFormat="1" ht="25.8" x14ac:dyDescent="0.5">
      <c r="A8" s="37" t="s">
        <v>29</v>
      </c>
    </row>
    <row r="9" spans="1:2" ht="57.6" x14ac:dyDescent="0.3">
      <c r="A9" s="38" t="s">
        <v>30</v>
      </c>
    </row>
    <row r="10" spans="1:2" s="33" customFormat="1" ht="27.9" customHeight="1" x14ac:dyDescent="0.3">
      <c r="A10" s="41" t="s">
        <v>31</v>
      </c>
    </row>
    <row r="11" spans="1:2" s="36" customFormat="1" ht="25.8" x14ac:dyDescent="0.5">
      <c r="A11" s="37" t="s">
        <v>32</v>
      </c>
    </row>
    <row r="12" spans="1:2" ht="28.8" x14ac:dyDescent="0.3">
      <c r="A12" s="38" t="s">
        <v>33</v>
      </c>
    </row>
    <row r="13" spans="1:2" s="33" customFormat="1" ht="27.9" customHeight="1" x14ac:dyDescent="0.3">
      <c r="A13" s="41" t="s">
        <v>34</v>
      </c>
    </row>
    <row r="14" spans="1:2" s="36" customFormat="1" ht="25.8" x14ac:dyDescent="0.5">
      <c r="A14" s="37" t="s">
        <v>35</v>
      </c>
    </row>
    <row r="15" spans="1:2" ht="93.75" customHeight="1" x14ac:dyDescent="0.3">
      <c r="A15" s="38" t="s">
        <v>36</v>
      </c>
    </row>
    <row r="16" spans="1:2" ht="86.4" x14ac:dyDescent="0.3">
      <c r="A16" s="38" t="s">
        <v>37</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ProjectSchedule</vt:lpstr>
      <vt:lpstr>Acerca de</vt:lpstr>
      <vt:lpstr>Inicio_del_proyecto</vt:lpstr>
      <vt:lpstr>Semana_para_mostrar</vt:lpstr>
      <vt:lpstr>ProjectSchedule!task_end</vt:lpstr>
      <vt:lpstr>ProjectSchedule!task_progress</vt:lpstr>
      <vt:lpstr>ProjectSchedule!task_start</vt:lpstr>
      <vt:lpstr>ProjectSchedule!Títulos_a_imprimir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2025-10-02T01:19:19Z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